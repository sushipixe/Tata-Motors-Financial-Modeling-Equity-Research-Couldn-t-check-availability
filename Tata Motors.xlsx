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31DB523-3AED-4C7C-8F09-6F64C126E254}" xr6:coauthVersionLast="47" xr6:coauthVersionMax="47" xr10:uidLastSave="{00000000-0000-0000-0000-000000000000}"/>
  <bookViews>
    <workbookView xWindow="-108" yWindow="-108" windowWidth="23256" windowHeight="12456" firstSheet="13" activeTab="17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Data Sheet" sheetId="6" r:id="rId5"/>
    <sheet name="HistoricaIFS" sheetId="8" r:id="rId6"/>
    <sheet name="Common Size Statement" sheetId="17" r:id="rId7"/>
    <sheet name="Forcasting" sheetId="12" r:id="rId8"/>
    <sheet name="WACC" sheetId="13" r:id="rId9"/>
    <sheet name="Beta" sheetId="14" r:id="rId10"/>
    <sheet name="Beta  - Comp " sheetId="15" r:id="rId11"/>
    <sheet name="DATA&gt;" sheetId="7" r:id="rId12"/>
    <sheet name="Ratio Analysis" sheetId="11" r:id="rId13"/>
    <sheet name="Cash Flow Data" sheetId="10" r:id="rId14"/>
    <sheet name="Financials&gt;" sheetId="9" r:id="rId15"/>
    <sheet name="Rm " sheetId="16" r:id="rId16"/>
    <sheet name="Raw FS" sheetId="18" r:id="rId17"/>
    <sheet name="Intresnsic Growth" sheetId="19" r:id="rId18"/>
  </sheets>
  <definedNames>
    <definedName name="_xlnm._FilterDatabase" localSheetId="9" hidden="1">Beta!$B$4:$D$109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5" i="14" l="1"/>
  <c r="B22" i="17"/>
  <c r="F38" i="19"/>
  <c r="G38" i="19"/>
  <c r="H38" i="19"/>
  <c r="I38" i="19"/>
  <c r="E38" i="19"/>
  <c r="E19" i="19"/>
  <c r="F19" i="19"/>
  <c r="G19" i="19"/>
  <c r="H19" i="19"/>
  <c r="I19" i="19"/>
  <c r="E20" i="19"/>
  <c r="F20" i="19"/>
  <c r="G20" i="19"/>
  <c r="G27" i="19" s="1"/>
  <c r="G29" i="19" s="1"/>
  <c r="H20" i="19"/>
  <c r="H27" i="19" s="1"/>
  <c r="H29" i="19" s="1"/>
  <c r="I20" i="19"/>
  <c r="E21" i="19"/>
  <c r="E27" i="19" s="1"/>
  <c r="E29" i="19" s="1"/>
  <c r="F21" i="19"/>
  <c r="F27" i="19" s="1"/>
  <c r="F29" i="19" s="1"/>
  <c r="G21" i="19"/>
  <c r="H21" i="19"/>
  <c r="I21" i="19"/>
  <c r="E22" i="19"/>
  <c r="F22" i="19"/>
  <c r="G22" i="19"/>
  <c r="H22" i="19"/>
  <c r="I22" i="19"/>
  <c r="E23" i="19"/>
  <c r="F23" i="19"/>
  <c r="G23" i="19"/>
  <c r="H23" i="19"/>
  <c r="I23" i="19"/>
  <c r="E24" i="19"/>
  <c r="F24" i="19"/>
  <c r="G24" i="19"/>
  <c r="H24" i="19"/>
  <c r="I24" i="19"/>
  <c r="E25" i="19"/>
  <c r="F25" i="19"/>
  <c r="G25" i="19"/>
  <c r="H25" i="19"/>
  <c r="I25" i="19"/>
  <c r="I27" i="19" s="1"/>
  <c r="I29" i="19" s="1"/>
  <c r="E26" i="19"/>
  <c r="F26" i="19"/>
  <c r="G26" i="19"/>
  <c r="H26" i="19"/>
  <c r="I26" i="19"/>
  <c r="E28" i="19"/>
  <c r="F28" i="19"/>
  <c r="G28" i="19"/>
  <c r="H28" i="19"/>
  <c r="I28" i="19"/>
  <c r="B55" i="19"/>
  <c r="F52" i="19"/>
  <c r="I52" i="19"/>
  <c r="H52" i="19"/>
  <c r="G52" i="19"/>
  <c r="E52" i="19"/>
  <c r="I36" i="19"/>
  <c r="H36" i="19"/>
  <c r="G36" i="19"/>
  <c r="F36" i="19"/>
  <c r="E36" i="19"/>
  <c r="I32" i="19" l="1"/>
  <c r="I41" i="19" s="1"/>
  <c r="I43" i="19" s="1"/>
  <c r="H32" i="19"/>
  <c r="H41" i="19" s="1"/>
  <c r="H43" i="19" s="1"/>
  <c r="G32" i="19"/>
  <c r="G41" i="19" s="1"/>
  <c r="G43" i="19" s="1"/>
  <c r="F32" i="19"/>
  <c r="F41" i="19" s="1"/>
  <c r="F43" i="19" s="1"/>
  <c r="E32" i="19"/>
  <c r="E41" i="19" s="1"/>
  <c r="E43" i="19" s="1"/>
  <c r="B28" i="19"/>
  <c r="B20" i="19"/>
  <c r="B21" i="19"/>
  <c r="B22" i="19"/>
  <c r="B23" i="19"/>
  <c r="B24" i="19"/>
  <c r="B25" i="19"/>
  <c r="B26" i="19"/>
  <c r="B19" i="19"/>
  <c r="I13" i="19"/>
  <c r="H13" i="19"/>
  <c r="G13" i="19"/>
  <c r="F13" i="19"/>
  <c r="I12" i="19"/>
  <c r="H12" i="19"/>
  <c r="G12" i="19"/>
  <c r="F12" i="19"/>
  <c r="I11" i="19"/>
  <c r="H11" i="19"/>
  <c r="G11" i="19"/>
  <c r="F11" i="19"/>
  <c r="E13" i="19"/>
  <c r="E12" i="19"/>
  <c r="E11" i="19"/>
  <c r="B13" i="19"/>
  <c r="B12" i="19"/>
  <c r="B11" i="19"/>
  <c r="B7" i="19"/>
  <c r="F6" i="19"/>
  <c r="G6" i="19"/>
  <c r="H6" i="19"/>
  <c r="I6" i="19"/>
  <c r="F7" i="19"/>
  <c r="G7" i="19"/>
  <c r="H7" i="19"/>
  <c r="I7" i="19"/>
  <c r="E7" i="19"/>
  <c r="E6" i="19"/>
  <c r="B6" i="19"/>
  <c r="F5" i="19"/>
  <c r="G5" i="19"/>
  <c r="H5" i="19"/>
  <c r="I5" i="19"/>
  <c r="E5" i="19"/>
  <c r="B5" i="19"/>
  <c r="F4" i="19"/>
  <c r="G4" i="19"/>
  <c r="H4" i="19"/>
  <c r="I4" i="19"/>
  <c r="E4" i="19"/>
  <c r="B4" i="19"/>
  <c r="D35" i="17"/>
  <c r="E35" i="17"/>
  <c r="F35" i="17"/>
  <c r="G35" i="17"/>
  <c r="H35" i="17"/>
  <c r="I35" i="17"/>
  <c r="J35" i="17"/>
  <c r="K35" i="17"/>
  <c r="L35" i="17"/>
  <c r="D36" i="17"/>
  <c r="E36" i="17"/>
  <c r="F36" i="17"/>
  <c r="G36" i="17"/>
  <c r="H36" i="17"/>
  <c r="I36" i="17"/>
  <c r="J36" i="17"/>
  <c r="K36" i="17"/>
  <c r="L36" i="17"/>
  <c r="D37" i="17"/>
  <c r="E37" i="17"/>
  <c r="F37" i="17"/>
  <c r="G37" i="17"/>
  <c r="H37" i="17"/>
  <c r="I37" i="17"/>
  <c r="J37" i="17"/>
  <c r="K37" i="17"/>
  <c r="L37" i="17"/>
  <c r="C36" i="17"/>
  <c r="C37" i="17"/>
  <c r="C35" i="17"/>
  <c r="D31" i="17"/>
  <c r="E31" i="17"/>
  <c r="F31" i="17"/>
  <c r="G31" i="17"/>
  <c r="H31" i="17"/>
  <c r="I31" i="17"/>
  <c r="J31" i="17"/>
  <c r="K31" i="17"/>
  <c r="L31" i="17"/>
  <c r="D32" i="17"/>
  <c r="E32" i="17"/>
  <c r="F32" i="17"/>
  <c r="G32" i="17"/>
  <c r="H32" i="17"/>
  <c r="I32" i="17"/>
  <c r="J32" i="17"/>
  <c r="K32" i="17"/>
  <c r="L32" i="17"/>
  <c r="D33" i="17"/>
  <c r="E33" i="17"/>
  <c r="F33" i="17"/>
  <c r="G33" i="17"/>
  <c r="H33" i="17"/>
  <c r="I33" i="17"/>
  <c r="J33" i="17"/>
  <c r="K33" i="17"/>
  <c r="L33" i="17"/>
  <c r="D34" i="17"/>
  <c r="E34" i="17"/>
  <c r="F34" i="17"/>
  <c r="G34" i="17"/>
  <c r="H34" i="17"/>
  <c r="I34" i="17"/>
  <c r="J34" i="17"/>
  <c r="K34" i="17"/>
  <c r="L34" i="17"/>
  <c r="C32" i="17"/>
  <c r="C33" i="17"/>
  <c r="C34" i="17"/>
  <c r="C31" i="17"/>
  <c r="D39" i="17"/>
  <c r="E39" i="17"/>
  <c r="F39" i="17"/>
  <c r="G39" i="17"/>
  <c r="H39" i="17"/>
  <c r="I39" i="17"/>
  <c r="J39" i="17"/>
  <c r="K39" i="17"/>
  <c r="L39" i="17"/>
  <c r="C39" i="17"/>
  <c r="C75" i="6"/>
  <c r="D75" i="6"/>
  <c r="E75" i="6"/>
  <c r="F75" i="6"/>
  <c r="G75" i="6"/>
  <c r="H75" i="6"/>
  <c r="I75" i="6"/>
  <c r="J75" i="6"/>
  <c r="K75" i="6"/>
  <c r="B75" i="6"/>
  <c r="D25" i="17"/>
  <c r="E25" i="17"/>
  <c r="F25" i="17"/>
  <c r="G25" i="17"/>
  <c r="H25" i="17"/>
  <c r="I25" i="17"/>
  <c r="J25" i="17"/>
  <c r="K25" i="17"/>
  <c r="L25" i="17"/>
  <c r="D26" i="17"/>
  <c r="E26" i="17"/>
  <c r="F26" i="17"/>
  <c r="G26" i="17"/>
  <c r="H26" i="17"/>
  <c r="I26" i="17"/>
  <c r="J26" i="17"/>
  <c r="K26" i="17"/>
  <c r="L26" i="17"/>
  <c r="D27" i="17"/>
  <c r="E27" i="17"/>
  <c r="F27" i="17"/>
  <c r="G27" i="17"/>
  <c r="H27" i="17"/>
  <c r="I27" i="17"/>
  <c r="J27" i="17"/>
  <c r="K27" i="17"/>
  <c r="L27" i="17"/>
  <c r="D28" i="17"/>
  <c r="E28" i="17"/>
  <c r="F28" i="17"/>
  <c r="G28" i="17"/>
  <c r="H28" i="17"/>
  <c r="I28" i="17"/>
  <c r="J28" i="17"/>
  <c r="K28" i="17"/>
  <c r="L28" i="17"/>
  <c r="D29" i="17"/>
  <c r="E29" i="17"/>
  <c r="F29" i="17"/>
  <c r="G29" i="17"/>
  <c r="H29" i="17"/>
  <c r="I29" i="17"/>
  <c r="J29" i="17"/>
  <c r="K29" i="17"/>
  <c r="L29" i="17"/>
  <c r="C25" i="17"/>
  <c r="C26" i="17"/>
  <c r="C27" i="17"/>
  <c r="C28" i="17"/>
  <c r="C29" i="17"/>
  <c r="B26" i="17"/>
  <c r="B27" i="17"/>
  <c r="B28" i="17"/>
  <c r="B29" i="17"/>
  <c r="B31" i="17"/>
  <c r="B32" i="17"/>
  <c r="B33" i="17"/>
  <c r="B34" i="17"/>
  <c r="B35" i="17"/>
  <c r="B36" i="17"/>
  <c r="B37" i="17"/>
  <c r="B25" i="17"/>
  <c r="D24" i="17"/>
  <c r="E24" i="17"/>
  <c r="F24" i="17"/>
  <c r="G24" i="17"/>
  <c r="H24" i="17"/>
  <c r="I24" i="17"/>
  <c r="J24" i="17"/>
  <c r="K24" i="17"/>
  <c r="L24" i="17"/>
  <c r="C24" i="17"/>
  <c r="L20" i="17"/>
  <c r="K20" i="17"/>
  <c r="J20" i="17"/>
  <c r="I20" i="17"/>
  <c r="H20" i="17"/>
  <c r="G20" i="17"/>
  <c r="F20" i="17"/>
  <c r="E20" i="17"/>
  <c r="D20" i="17"/>
  <c r="C20" i="17"/>
  <c r="B20" i="17"/>
  <c r="C32" i="6"/>
  <c r="D32" i="6"/>
  <c r="E32" i="6"/>
  <c r="F32" i="6"/>
  <c r="G32" i="6"/>
  <c r="H32" i="6"/>
  <c r="I32" i="6"/>
  <c r="J32" i="6"/>
  <c r="K32" i="6"/>
  <c r="B32" i="6"/>
  <c r="C6" i="17"/>
  <c r="D6" i="17"/>
  <c r="E6" i="17"/>
  <c r="F6" i="17"/>
  <c r="G6" i="17"/>
  <c r="H6" i="17"/>
  <c r="I6" i="17"/>
  <c r="J6" i="17"/>
  <c r="K6" i="17"/>
  <c r="L6" i="17"/>
  <c r="C7" i="17"/>
  <c r="D7" i="17"/>
  <c r="E7" i="17"/>
  <c r="F7" i="17"/>
  <c r="G7" i="17"/>
  <c r="H7" i="17"/>
  <c r="I7" i="17"/>
  <c r="J7" i="17"/>
  <c r="K7" i="17"/>
  <c r="L7" i="17"/>
  <c r="C8" i="17"/>
  <c r="D8" i="17"/>
  <c r="E8" i="17"/>
  <c r="F8" i="17"/>
  <c r="G8" i="17"/>
  <c r="H8" i="17"/>
  <c r="I8" i="17"/>
  <c r="J8" i="17"/>
  <c r="K8" i="17"/>
  <c r="L8" i="17"/>
  <c r="C9" i="17"/>
  <c r="D9" i="17"/>
  <c r="E9" i="17"/>
  <c r="F9" i="17"/>
  <c r="G9" i="17"/>
  <c r="H9" i="17"/>
  <c r="I9" i="17"/>
  <c r="J9" i="17"/>
  <c r="K9" i="17"/>
  <c r="L9" i="17"/>
  <c r="C10" i="17"/>
  <c r="D10" i="17"/>
  <c r="E10" i="17"/>
  <c r="F10" i="17"/>
  <c r="G10" i="17"/>
  <c r="H10" i="17"/>
  <c r="I10" i="17"/>
  <c r="J10" i="17"/>
  <c r="K10" i="17"/>
  <c r="L10" i="17"/>
  <c r="C11" i="17"/>
  <c r="D11" i="17"/>
  <c r="E11" i="17"/>
  <c r="F11" i="17"/>
  <c r="G11" i="17"/>
  <c r="H11" i="17"/>
  <c r="I11" i="17"/>
  <c r="J11" i="17"/>
  <c r="K11" i="17"/>
  <c r="L11" i="17"/>
  <c r="C12" i="17"/>
  <c r="D12" i="17"/>
  <c r="E12" i="17"/>
  <c r="F12" i="17"/>
  <c r="G12" i="17"/>
  <c r="H12" i="17"/>
  <c r="I12" i="17"/>
  <c r="J12" i="17"/>
  <c r="K12" i="17"/>
  <c r="L12" i="17"/>
  <c r="C13" i="17"/>
  <c r="D13" i="17"/>
  <c r="E13" i="17"/>
  <c r="F13" i="17"/>
  <c r="G13" i="17"/>
  <c r="H13" i="17"/>
  <c r="I13" i="17"/>
  <c r="J13" i="17"/>
  <c r="K13" i="17"/>
  <c r="L13" i="17"/>
  <c r="C14" i="17"/>
  <c r="D14" i="17"/>
  <c r="E14" i="17"/>
  <c r="F14" i="17"/>
  <c r="G14" i="17"/>
  <c r="H14" i="17"/>
  <c r="I14" i="17"/>
  <c r="J14" i="17"/>
  <c r="K14" i="17"/>
  <c r="L14" i="17"/>
  <c r="C15" i="17"/>
  <c r="D15" i="17"/>
  <c r="E15" i="17"/>
  <c r="F15" i="17"/>
  <c r="G15" i="17"/>
  <c r="H15" i="17"/>
  <c r="I15" i="17"/>
  <c r="J15" i="17"/>
  <c r="K15" i="17"/>
  <c r="L15" i="17"/>
  <c r="C16" i="17"/>
  <c r="D16" i="17"/>
  <c r="E16" i="17"/>
  <c r="F16" i="17"/>
  <c r="G16" i="17"/>
  <c r="H16" i="17"/>
  <c r="I16" i="17"/>
  <c r="J16" i="17"/>
  <c r="K16" i="17"/>
  <c r="L16" i="17"/>
  <c r="C17" i="17"/>
  <c r="D17" i="17"/>
  <c r="E17" i="17"/>
  <c r="F17" i="17"/>
  <c r="G17" i="17"/>
  <c r="H17" i="17"/>
  <c r="I17" i="17"/>
  <c r="J17" i="17"/>
  <c r="K17" i="17"/>
  <c r="L17" i="17"/>
  <c r="C18" i="17"/>
  <c r="D18" i="17"/>
  <c r="E18" i="17"/>
  <c r="F18" i="17"/>
  <c r="G18" i="17"/>
  <c r="H18" i="17"/>
  <c r="I18" i="17"/>
  <c r="J18" i="17"/>
  <c r="K18" i="17"/>
  <c r="L18" i="17"/>
  <c r="C19" i="17"/>
  <c r="D19" i="17"/>
  <c r="E19" i="17"/>
  <c r="F19" i="17"/>
  <c r="G19" i="17"/>
  <c r="H19" i="17"/>
  <c r="I19" i="17"/>
  <c r="J19" i="17"/>
  <c r="K19" i="17"/>
  <c r="L19" i="17"/>
  <c r="D5" i="17"/>
  <c r="E5" i="17"/>
  <c r="F5" i="17"/>
  <c r="G5" i="17"/>
  <c r="H5" i="17"/>
  <c r="I5" i="17"/>
  <c r="J5" i="17"/>
  <c r="K5" i="17"/>
  <c r="L5" i="17"/>
  <c r="C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5" i="17"/>
  <c r="L4" i="17"/>
  <c r="D4" i="17"/>
  <c r="E4" i="17"/>
  <c r="F4" i="17"/>
  <c r="G4" i="17"/>
  <c r="H4" i="17"/>
  <c r="I4" i="17"/>
  <c r="J4" i="17"/>
  <c r="K4" i="17"/>
  <c r="C4" i="17"/>
  <c r="B2" i="17"/>
  <c r="M43" i="13"/>
  <c r="M45" i="13" s="1"/>
  <c r="M42" i="13"/>
  <c r="M40" i="13"/>
  <c r="M39" i="13"/>
  <c r="M26" i="13"/>
  <c r="M24" i="13"/>
  <c r="G8" i="16"/>
  <c r="G6" i="16"/>
  <c r="M25" i="13"/>
  <c r="E32" i="13"/>
  <c r="C33" i="13"/>
  <c r="C32" i="13"/>
  <c r="M31" i="13"/>
  <c r="M18" i="13"/>
  <c r="M17" i="13"/>
  <c r="M11" i="13"/>
  <c r="M12" i="13"/>
  <c r="M13" i="13"/>
  <c r="M14" i="13"/>
  <c r="M10" i="13"/>
  <c r="L10" i="13"/>
  <c r="O12" i="13"/>
  <c r="O9" i="13"/>
  <c r="O10" i="13"/>
  <c r="J11" i="13"/>
  <c r="J12" i="13"/>
  <c r="J13" i="13"/>
  <c r="J14" i="13"/>
  <c r="H14" i="13"/>
  <c r="H13" i="13"/>
  <c r="H12" i="13"/>
  <c r="H11" i="13"/>
  <c r="H10" i="13"/>
  <c r="G14" i="13"/>
  <c r="G13" i="13"/>
  <c r="G12" i="13"/>
  <c r="G11" i="13"/>
  <c r="G10" i="13"/>
  <c r="B13" i="13"/>
  <c r="B12" i="13"/>
  <c r="B11" i="13"/>
  <c r="B10" i="13"/>
  <c r="J12" i="14"/>
  <c r="J5" i="14"/>
  <c r="N8" i="14"/>
  <c r="E8" i="19" l="1"/>
  <c r="F14" i="19"/>
  <c r="H14" i="19"/>
  <c r="H8" i="19"/>
  <c r="G14" i="19"/>
  <c r="G8" i="19"/>
  <c r="F8" i="19"/>
  <c r="I8" i="19"/>
  <c r="E14" i="19"/>
  <c r="I14" i="19"/>
  <c r="N6" i="14"/>
  <c r="E16" i="19" l="1"/>
  <c r="F16" i="19"/>
  <c r="F39" i="19" s="1"/>
  <c r="F45" i="19" s="1"/>
  <c r="F46" i="19" s="1"/>
  <c r="G16" i="19"/>
  <c r="G39" i="19" s="1"/>
  <c r="G45" i="19" s="1"/>
  <c r="G46" i="19" s="1"/>
  <c r="G54" i="19" s="1"/>
  <c r="F31" i="19"/>
  <c r="F34" i="19" s="1"/>
  <c r="F55" i="19" s="1"/>
  <c r="H16" i="19"/>
  <c r="I16" i="19"/>
  <c r="G31" i="19"/>
  <c r="G34" i="19" s="1"/>
  <c r="G55" i="19" s="1"/>
  <c r="E31" i="19"/>
  <c r="E34" i="19" s="1"/>
  <c r="M33" i="13"/>
  <c r="H37" i="13"/>
  <c r="H33" i="13"/>
  <c r="E33" i="13"/>
  <c r="D33" i="13"/>
  <c r="D34" i="13"/>
  <c r="C34" i="13"/>
  <c r="D32" i="13" s="1"/>
  <c r="D36" i="13" s="1"/>
  <c r="E25" i="13"/>
  <c r="L18" i="13"/>
  <c r="L17" i="13"/>
  <c r="I18" i="13"/>
  <c r="I17" i="13"/>
  <c r="K14" i="13"/>
  <c r="K13" i="13"/>
  <c r="K12" i="13"/>
  <c r="K11" i="13"/>
  <c r="K10" i="13"/>
  <c r="J10" i="13"/>
  <c r="R32" i="12"/>
  <c r="R29" i="12"/>
  <c r="R30" i="12"/>
  <c r="C3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E6" i="12"/>
  <c r="E7" i="12"/>
  <c r="E8" i="12"/>
  <c r="E9" i="12"/>
  <c r="E10" i="12"/>
  <c r="E11" i="12"/>
  <c r="E12" i="12"/>
  <c r="E13" i="12"/>
  <c r="E14" i="12"/>
  <c r="N5" i="12" a="1"/>
  <c r="N5" i="12" s="1"/>
  <c r="L3" i="12"/>
  <c r="I5" i="12" a="1"/>
  <c r="I5" i="12" s="1"/>
  <c r="G3" i="12"/>
  <c r="D5" i="12" a="1"/>
  <c r="D5" i="12" s="1"/>
  <c r="B3" i="12"/>
  <c r="O40" i="11"/>
  <c r="O39" i="11"/>
  <c r="O38" i="11"/>
  <c r="O36" i="11"/>
  <c r="O35" i="11"/>
  <c r="O34" i="11"/>
  <c r="O33" i="11"/>
  <c r="O31" i="11"/>
  <c r="O30" i="11"/>
  <c r="O29" i="11"/>
  <c r="O28" i="11"/>
  <c r="O27" i="11"/>
  <c r="O25" i="11"/>
  <c r="O24" i="11"/>
  <c r="O23" i="11"/>
  <c r="O22" i="11"/>
  <c r="O21" i="11"/>
  <c r="O19" i="11"/>
  <c r="O18" i="11"/>
  <c r="O17" i="11"/>
  <c r="O15" i="11"/>
  <c r="O14" i="11"/>
  <c r="O13" i="11"/>
  <c r="O12" i="11"/>
  <c r="O11" i="11"/>
  <c r="O9" i="11"/>
  <c r="O8" i="11"/>
  <c r="O7" i="11"/>
  <c r="O6" i="11"/>
  <c r="O5" i="11"/>
  <c r="N40" i="11"/>
  <c r="N39" i="11"/>
  <c r="N38" i="11"/>
  <c r="N36" i="11"/>
  <c r="N35" i="11"/>
  <c r="N34" i="11"/>
  <c r="N33" i="11"/>
  <c r="N31" i="11"/>
  <c r="N30" i="11"/>
  <c r="N29" i="11"/>
  <c r="N28" i="11"/>
  <c r="N27" i="11"/>
  <c r="N25" i="11"/>
  <c r="N24" i="11"/>
  <c r="N23" i="11"/>
  <c r="N22" i="11"/>
  <c r="N21" i="11"/>
  <c r="N19" i="11"/>
  <c r="N18" i="11"/>
  <c r="N17" i="11"/>
  <c r="N15" i="11"/>
  <c r="N14" i="11"/>
  <c r="N13" i="11"/>
  <c r="N12" i="11"/>
  <c r="N11" i="11"/>
  <c r="N9" i="11"/>
  <c r="N8" i="11"/>
  <c r="N7" i="11"/>
  <c r="N6" i="11"/>
  <c r="N5" i="11"/>
  <c r="L40" i="11"/>
  <c r="K40" i="11"/>
  <c r="J40" i="11"/>
  <c r="I40" i="11"/>
  <c r="H40" i="11"/>
  <c r="G40" i="11"/>
  <c r="F40" i="11"/>
  <c r="E40" i="11"/>
  <c r="D40" i="11"/>
  <c r="L39" i="11"/>
  <c r="K39" i="11"/>
  <c r="J39" i="11"/>
  <c r="I39" i="11"/>
  <c r="H39" i="11"/>
  <c r="G39" i="11"/>
  <c r="F39" i="11"/>
  <c r="E39" i="11"/>
  <c r="D39" i="11"/>
  <c r="L38" i="11"/>
  <c r="K38" i="11"/>
  <c r="J38" i="11"/>
  <c r="I38" i="11"/>
  <c r="H38" i="11"/>
  <c r="G38" i="11"/>
  <c r="F38" i="11"/>
  <c r="E38" i="11"/>
  <c r="D38" i="11"/>
  <c r="C40" i="11"/>
  <c r="C39" i="11"/>
  <c r="C38" i="11"/>
  <c r="K35" i="11"/>
  <c r="J35" i="11"/>
  <c r="I35" i="11"/>
  <c r="D35" i="11"/>
  <c r="K34" i="11"/>
  <c r="K36" i="11" s="1"/>
  <c r="J34" i="11"/>
  <c r="J36" i="11" s="1"/>
  <c r="I34" i="11"/>
  <c r="H34" i="11"/>
  <c r="G34" i="11"/>
  <c r="F34" i="11"/>
  <c r="J33" i="11"/>
  <c r="I33" i="11"/>
  <c r="H33" i="11"/>
  <c r="D33" i="11"/>
  <c r="D31" i="11"/>
  <c r="E31" i="11"/>
  <c r="F31" i="11"/>
  <c r="G31" i="11"/>
  <c r="H31" i="11"/>
  <c r="I31" i="11"/>
  <c r="J31" i="11"/>
  <c r="K31" i="11"/>
  <c r="L31" i="11"/>
  <c r="C31" i="11"/>
  <c r="D29" i="11"/>
  <c r="E29" i="11"/>
  <c r="E35" i="11" s="1"/>
  <c r="F29" i="11"/>
  <c r="F35" i="11" s="1"/>
  <c r="G29" i="11"/>
  <c r="G35" i="11" s="1"/>
  <c r="H29" i="11"/>
  <c r="H35" i="11" s="1"/>
  <c r="I29" i="11"/>
  <c r="J29" i="11"/>
  <c r="K29" i="11"/>
  <c r="L29" i="11"/>
  <c r="L35" i="11" s="1"/>
  <c r="D30" i="11"/>
  <c r="E30" i="11"/>
  <c r="F30" i="11"/>
  <c r="G30" i="11"/>
  <c r="H30" i="11"/>
  <c r="I30" i="11"/>
  <c r="J30" i="11"/>
  <c r="K30" i="11"/>
  <c r="L30" i="11"/>
  <c r="C30" i="11"/>
  <c r="C29" i="11"/>
  <c r="C35" i="11" s="1"/>
  <c r="D28" i="11"/>
  <c r="D34" i="11" s="1"/>
  <c r="D36" i="11" s="1"/>
  <c r="E28" i="11"/>
  <c r="E34" i="11" s="1"/>
  <c r="F28" i="11"/>
  <c r="G28" i="11"/>
  <c r="H28" i="11"/>
  <c r="I28" i="11"/>
  <c r="J28" i="11"/>
  <c r="K28" i="11"/>
  <c r="L28" i="11"/>
  <c r="L34" i="11" s="1"/>
  <c r="L36" i="11" s="1"/>
  <c r="C28" i="11"/>
  <c r="C34" i="11" s="1"/>
  <c r="D27" i="11"/>
  <c r="E27" i="11"/>
  <c r="E33" i="11" s="1"/>
  <c r="F27" i="11"/>
  <c r="F33" i="11" s="1"/>
  <c r="G27" i="11"/>
  <c r="G33" i="11" s="1"/>
  <c r="H27" i="11"/>
  <c r="I27" i="11"/>
  <c r="J27" i="11"/>
  <c r="K27" i="11"/>
  <c r="K33" i="11" s="1"/>
  <c r="L27" i="11"/>
  <c r="L33" i="11" s="1"/>
  <c r="C27" i="11"/>
  <c r="C33" i="11" s="1"/>
  <c r="L25" i="11"/>
  <c r="K25" i="11"/>
  <c r="J25" i="11"/>
  <c r="I25" i="11"/>
  <c r="H25" i="11"/>
  <c r="G25" i="11"/>
  <c r="F25" i="11"/>
  <c r="E25" i="11"/>
  <c r="D25" i="11"/>
  <c r="I24" i="11"/>
  <c r="H24" i="11"/>
  <c r="E24" i="11"/>
  <c r="C25" i="11"/>
  <c r="D21" i="11"/>
  <c r="E21" i="11"/>
  <c r="F21" i="11"/>
  <c r="G21" i="11"/>
  <c r="H21" i="11"/>
  <c r="I21" i="11"/>
  <c r="J21" i="11"/>
  <c r="K21" i="11"/>
  <c r="L21" i="11"/>
  <c r="D22" i="11"/>
  <c r="D24" i="11" s="1"/>
  <c r="E22" i="11"/>
  <c r="F22" i="11"/>
  <c r="G22" i="11"/>
  <c r="H22" i="11"/>
  <c r="I22" i="11"/>
  <c r="J22" i="11"/>
  <c r="J24" i="11" s="1"/>
  <c r="K22" i="11"/>
  <c r="K24" i="11" s="1"/>
  <c r="L22" i="11"/>
  <c r="L24" i="11" s="1"/>
  <c r="D23" i="11"/>
  <c r="E23" i="11"/>
  <c r="F23" i="11"/>
  <c r="F24" i="11" s="1"/>
  <c r="G23" i="11"/>
  <c r="G24" i="11" s="1"/>
  <c r="H23" i="11"/>
  <c r="I23" i="11"/>
  <c r="J23" i="11"/>
  <c r="K23" i="11"/>
  <c r="L23" i="11"/>
  <c r="C23" i="11"/>
  <c r="C22" i="11"/>
  <c r="C24" i="11" s="1"/>
  <c r="E8" i="11"/>
  <c r="F8" i="11"/>
  <c r="G8" i="11"/>
  <c r="H8" i="11"/>
  <c r="I8" i="11"/>
  <c r="J8" i="11"/>
  <c r="K8" i="11"/>
  <c r="L8" i="11"/>
  <c r="D8" i="11"/>
  <c r="C21" i="11"/>
  <c r="D18" i="11"/>
  <c r="E18" i="11"/>
  <c r="F18" i="11"/>
  <c r="G18" i="11"/>
  <c r="H18" i="11"/>
  <c r="I18" i="11"/>
  <c r="J18" i="11"/>
  <c r="K18" i="11"/>
  <c r="L18" i="11"/>
  <c r="K19" i="11"/>
  <c r="L19" i="11"/>
  <c r="C19" i="11"/>
  <c r="C18" i="11"/>
  <c r="D17" i="11"/>
  <c r="E17" i="11"/>
  <c r="F17" i="11"/>
  <c r="G17" i="11"/>
  <c r="H17" i="11"/>
  <c r="I17" i="11"/>
  <c r="J17" i="11"/>
  <c r="K17" i="11"/>
  <c r="L17" i="11"/>
  <c r="C17" i="11"/>
  <c r="D11" i="11"/>
  <c r="E11" i="11"/>
  <c r="F11" i="11"/>
  <c r="G11" i="11"/>
  <c r="H11" i="11"/>
  <c r="I11" i="11"/>
  <c r="J11" i="11"/>
  <c r="K11" i="11"/>
  <c r="L11" i="11"/>
  <c r="D12" i="11"/>
  <c r="E12" i="11"/>
  <c r="F12" i="11"/>
  <c r="G12" i="11"/>
  <c r="H12" i="11"/>
  <c r="I12" i="11"/>
  <c r="J12" i="11"/>
  <c r="K12" i="11"/>
  <c r="L12" i="11"/>
  <c r="D13" i="11"/>
  <c r="D19" i="11" s="1"/>
  <c r="E13" i="11"/>
  <c r="E19" i="11" s="1"/>
  <c r="F13" i="11"/>
  <c r="F19" i="11" s="1"/>
  <c r="G13" i="11"/>
  <c r="G19" i="11" s="1"/>
  <c r="H13" i="11"/>
  <c r="H19" i="11" s="1"/>
  <c r="I13" i="11"/>
  <c r="I19" i="11" s="1"/>
  <c r="J13" i="11"/>
  <c r="J19" i="11" s="1"/>
  <c r="K13" i="11"/>
  <c r="L13" i="11"/>
  <c r="D14" i="11"/>
  <c r="E14" i="11"/>
  <c r="F14" i="11"/>
  <c r="G14" i="11"/>
  <c r="H14" i="11"/>
  <c r="I14" i="11"/>
  <c r="J14" i="11"/>
  <c r="K14" i="11"/>
  <c r="L14" i="11"/>
  <c r="D15" i="11"/>
  <c r="E15" i="11"/>
  <c r="F15" i="11"/>
  <c r="G15" i="11"/>
  <c r="H15" i="11"/>
  <c r="I15" i="11"/>
  <c r="J15" i="11"/>
  <c r="K15" i="11"/>
  <c r="L15" i="11"/>
  <c r="L7" i="11"/>
  <c r="E7" i="11"/>
  <c r="F7" i="11"/>
  <c r="G7" i="11"/>
  <c r="H7" i="11"/>
  <c r="I7" i="11"/>
  <c r="J7" i="11"/>
  <c r="K7" i="11"/>
  <c r="O26" i="8"/>
  <c r="D7" i="11"/>
  <c r="C14" i="11"/>
  <c r="C15" i="11"/>
  <c r="C13" i="11"/>
  <c r="C12" i="11"/>
  <c r="C11" i="11"/>
  <c r="E9" i="11"/>
  <c r="F9" i="11"/>
  <c r="G9" i="11"/>
  <c r="H9" i="11"/>
  <c r="I9" i="11"/>
  <c r="J9" i="11"/>
  <c r="K9" i="11"/>
  <c r="L9" i="11"/>
  <c r="D9" i="11"/>
  <c r="L6" i="11"/>
  <c r="K6" i="11"/>
  <c r="J6" i="11"/>
  <c r="I6" i="11"/>
  <c r="H6" i="11"/>
  <c r="G6" i="11"/>
  <c r="F6" i="11"/>
  <c r="E6" i="11"/>
  <c r="L5" i="11"/>
  <c r="K5" i="11"/>
  <c r="J5" i="11"/>
  <c r="I5" i="11"/>
  <c r="H5" i="11"/>
  <c r="G5" i="11"/>
  <c r="F5" i="11"/>
  <c r="E5" i="11"/>
  <c r="D6" i="11"/>
  <c r="D5" i="11"/>
  <c r="B2" i="11"/>
  <c r="L3" i="11"/>
  <c r="K3" i="11"/>
  <c r="J3" i="11"/>
  <c r="I3" i="11"/>
  <c r="H3" i="11"/>
  <c r="G3" i="11"/>
  <c r="F3" i="11"/>
  <c r="E3" i="11"/>
  <c r="D3" i="11"/>
  <c r="C3" i="11"/>
  <c r="D81" i="8"/>
  <c r="E81" i="8"/>
  <c r="F81" i="8"/>
  <c r="G81" i="8"/>
  <c r="H81" i="8"/>
  <c r="I81" i="8"/>
  <c r="J81" i="8"/>
  <c r="K81" i="8"/>
  <c r="L81" i="8"/>
  <c r="C81" i="8"/>
  <c r="D98" i="8"/>
  <c r="E98" i="8"/>
  <c r="F98" i="8"/>
  <c r="G98" i="8"/>
  <c r="H98" i="8"/>
  <c r="I98" i="8"/>
  <c r="J98" i="8"/>
  <c r="K98" i="8"/>
  <c r="L98" i="8"/>
  <c r="D99" i="8"/>
  <c r="E99" i="8"/>
  <c r="F99" i="8"/>
  <c r="G99" i="8"/>
  <c r="H99" i="8"/>
  <c r="I99" i="8"/>
  <c r="J99" i="8"/>
  <c r="K99" i="8"/>
  <c r="L99" i="8"/>
  <c r="D100" i="8"/>
  <c r="E100" i="8"/>
  <c r="F100" i="8"/>
  <c r="G100" i="8"/>
  <c r="H100" i="8"/>
  <c r="I100" i="8"/>
  <c r="J100" i="8"/>
  <c r="K100" i="8"/>
  <c r="L100" i="8"/>
  <c r="D101" i="8"/>
  <c r="E101" i="8"/>
  <c r="F101" i="8"/>
  <c r="G101" i="8"/>
  <c r="H101" i="8"/>
  <c r="I101" i="8"/>
  <c r="J101" i="8"/>
  <c r="K101" i="8"/>
  <c r="L101" i="8"/>
  <c r="D102" i="8"/>
  <c r="E102" i="8"/>
  <c r="F102" i="8"/>
  <c r="G102" i="8"/>
  <c r="H102" i="8"/>
  <c r="I102" i="8"/>
  <c r="J102" i="8"/>
  <c r="K102" i="8"/>
  <c r="L102" i="8"/>
  <c r="D103" i="8"/>
  <c r="E103" i="8"/>
  <c r="F103" i="8"/>
  <c r="G103" i="8"/>
  <c r="H103" i="8"/>
  <c r="I103" i="8"/>
  <c r="J103" i="8"/>
  <c r="K103" i="8"/>
  <c r="L103" i="8"/>
  <c r="D104" i="8"/>
  <c r="E104" i="8"/>
  <c r="F104" i="8"/>
  <c r="G104" i="8"/>
  <c r="H104" i="8"/>
  <c r="I104" i="8"/>
  <c r="J104" i="8"/>
  <c r="K104" i="8"/>
  <c r="L104" i="8"/>
  <c r="D105" i="8"/>
  <c r="E105" i="8"/>
  <c r="F105" i="8"/>
  <c r="G105" i="8"/>
  <c r="H105" i="8"/>
  <c r="I105" i="8"/>
  <c r="J105" i="8"/>
  <c r="K105" i="8"/>
  <c r="L105" i="8"/>
  <c r="C99" i="8"/>
  <c r="C100" i="8"/>
  <c r="C101" i="8"/>
  <c r="C102" i="8"/>
  <c r="C103" i="8"/>
  <c r="C104" i="8"/>
  <c r="C105" i="8"/>
  <c r="C98" i="8"/>
  <c r="D84" i="8"/>
  <c r="E84" i="8"/>
  <c r="F84" i="8"/>
  <c r="G84" i="8"/>
  <c r="H84" i="8"/>
  <c r="I84" i="8"/>
  <c r="J84" i="8"/>
  <c r="K84" i="8"/>
  <c r="L84" i="8"/>
  <c r="D85" i="8"/>
  <c r="E85" i="8"/>
  <c r="F85" i="8"/>
  <c r="G85" i="8"/>
  <c r="H85" i="8"/>
  <c r="I85" i="8"/>
  <c r="J85" i="8"/>
  <c r="K85" i="8"/>
  <c r="L85" i="8"/>
  <c r="D86" i="8"/>
  <c r="E86" i="8"/>
  <c r="F86" i="8"/>
  <c r="G86" i="8"/>
  <c r="H86" i="8"/>
  <c r="I86" i="8"/>
  <c r="J86" i="8"/>
  <c r="K86" i="8"/>
  <c r="L86" i="8"/>
  <c r="D87" i="8"/>
  <c r="E87" i="8"/>
  <c r="F87" i="8"/>
  <c r="G87" i="8"/>
  <c r="H87" i="8"/>
  <c r="I87" i="8"/>
  <c r="J87" i="8"/>
  <c r="K87" i="8"/>
  <c r="L87" i="8"/>
  <c r="D88" i="8"/>
  <c r="E88" i="8"/>
  <c r="F88" i="8"/>
  <c r="G88" i="8"/>
  <c r="H88" i="8"/>
  <c r="I88" i="8"/>
  <c r="J88" i="8"/>
  <c r="K88" i="8"/>
  <c r="L88" i="8"/>
  <c r="D89" i="8"/>
  <c r="E89" i="8"/>
  <c r="F89" i="8"/>
  <c r="G89" i="8"/>
  <c r="H89" i="8"/>
  <c r="I89" i="8"/>
  <c r="J89" i="8"/>
  <c r="K89" i="8"/>
  <c r="L89" i="8"/>
  <c r="D90" i="8"/>
  <c r="E90" i="8"/>
  <c r="F90" i="8"/>
  <c r="G90" i="8"/>
  <c r="H90" i="8"/>
  <c r="I90" i="8"/>
  <c r="J90" i="8"/>
  <c r="K90" i="8"/>
  <c r="L90" i="8"/>
  <c r="D91" i="8"/>
  <c r="E91" i="8"/>
  <c r="F91" i="8"/>
  <c r="G91" i="8"/>
  <c r="H91" i="8"/>
  <c r="I91" i="8"/>
  <c r="J91" i="8"/>
  <c r="K91" i="8"/>
  <c r="L91" i="8"/>
  <c r="D92" i="8"/>
  <c r="E92" i="8"/>
  <c r="F92" i="8"/>
  <c r="G92" i="8"/>
  <c r="H92" i="8"/>
  <c r="I92" i="8"/>
  <c r="J92" i="8"/>
  <c r="K92" i="8"/>
  <c r="L92" i="8"/>
  <c r="D93" i="8"/>
  <c r="E93" i="8"/>
  <c r="F93" i="8"/>
  <c r="G93" i="8"/>
  <c r="H93" i="8"/>
  <c r="I93" i="8"/>
  <c r="J93" i="8"/>
  <c r="K93" i="8"/>
  <c r="L93" i="8"/>
  <c r="D94" i="8"/>
  <c r="E94" i="8"/>
  <c r="F94" i="8"/>
  <c r="G94" i="8"/>
  <c r="H94" i="8"/>
  <c r="I94" i="8"/>
  <c r="J94" i="8"/>
  <c r="K94" i="8"/>
  <c r="L94" i="8"/>
  <c r="C85" i="8"/>
  <c r="C86" i="8"/>
  <c r="C87" i="8"/>
  <c r="C88" i="8"/>
  <c r="C89" i="8"/>
  <c r="C90" i="8"/>
  <c r="C91" i="8"/>
  <c r="C92" i="8"/>
  <c r="C93" i="8"/>
  <c r="C94" i="8"/>
  <c r="C84" i="8"/>
  <c r="N8" i="10"/>
  <c r="D73" i="8"/>
  <c r="E73" i="8"/>
  <c r="F73" i="8"/>
  <c r="G73" i="8"/>
  <c r="H73" i="8"/>
  <c r="I73" i="8"/>
  <c r="J73" i="8"/>
  <c r="K73" i="8"/>
  <c r="L73" i="8"/>
  <c r="D74" i="8"/>
  <c r="E74" i="8"/>
  <c r="F74" i="8"/>
  <c r="G74" i="8"/>
  <c r="H74" i="8"/>
  <c r="I74" i="8"/>
  <c r="J74" i="8"/>
  <c r="K74" i="8"/>
  <c r="L74" i="8"/>
  <c r="D75" i="8"/>
  <c r="E75" i="8"/>
  <c r="F75" i="8"/>
  <c r="G75" i="8"/>
  <c r="H75" i="8"/>
  <c r="I75" i="8"/>
  <c r="J75" i="8"/>
  <c r="K75" i="8"/>
  <c r="L75" i="8"/>
  <c r="D76" i="8"/>
  <c r="E76" i="8"/>
  <c r="F76" i="8"/>
  <c r="G76" i="8"/>
  <c r="H76" i="8"/>
  <c r="I76" i="8"/>
  <c r="J76" i="8"/>
  <c r="K76" i="8"/>
  <c r="L76" i="8"/>
  <c r="D77" i="8"/>
  <c r="E77" i="8"/>
  <c r="F77" i="8"/>
  <c r="G77" i="8"/>
  <c r="H77" i="8"/>
  <c r="I77" i="8"/>
  <c r="J77" i="8"/>
  <c r="K77" i="8"/>
  <c r="L77" i="8"/>
  <c r="D78" i="8"/>
  <c r="E78" i="8"/>
  <c r="F78" i="8"/>
  <c r="G78" i="8"/>
  <c r="H78" i="8"/>
  <c r="I78" i="8"/>
  <c r="J78" i="8"/>
  <c r="K78" i="8"/>
  <c r="L78" i="8"/>
  <c r="D79" i="8"/>
  <c r="E79" i="8"/>
  <c r="F79" i="8"/>
  <c r="G79" i="8"/>
  <c r="H79" i="8"/>
  <c r="I79" i="8"/>
  <c r="J79" i="8"/>
  <c r="K79" i="8"/>
  <c r="L79" i="8"/>
  <c r="D80" i="8"/>
  <c r="E80" i="8"/>
  <c r="F80" i="8"/>
  <c r="G80" i="8"/>
  <c r="H80" i="8"/>
  <c r="I80" i="8"/>
  <c r="J80" i="8"/>
  <c r="K80" i="8"/>
  <c r="L80" i="8"/>
  <c r="C74" i="8"/>
  <c r="C75" i="8"/>
  <c r="C76" i="8"/>
  <c r="C77" i="8"/>
  <c r="C78" i="8"/>
  <c r="C79" i="8"/>
  <c r="C80" i="8"/>
  <c r="C73" i="8"/>
  <c r="D68" i="8"/>
  <c r="E68" i="8"/>
  <c r="F68" i="8"/>
  <c r="G68" i="8"/>
  <c r="H68" i="8"/>
  <c r="I68" i="8"/>
  <c r="J68" i="8"/>
  <c r="K68" i="8"/>
  <c r="L68" i="8"/>
  <c r="C68" i="8"/>
  <c r="C66" i="8"/>
  <c r="D58" i="8"/>
  <c r="E58" i="8"/>
  <c r="F58" i="8"/>
  <c r="G58" i="8"/>
  <c r="H58" i="8"/>
  <c r="H66" i="8" s="1"/>
  <c r="I58" i="8"/>
  <c r="I66" i="8" s="1"/>
  <c r="J58" i="8"/>
  <c r="J66" i="8" s="1"/>
  <c r="K58" i="8"/>
  <c r="K66" i="8" s="1"/>
  <c r="L58" i="8"/>
  <c r="L66" i="8" s="1"/>
  <c r="D57" i="8"/>
  <c r="E57" i="8"/>
  <c r="F57" i="8"/>
  <c r="G57" i="8"/>
  <c r="H57" i="8"/>
  <c r="I57" i="8"/>
  <c r="J57" i="8"/>
  <c r="K57" i="8"/>
  <c r="L57" i="8"/>
  <c r="C58" i="8"/>
  <c r="C57" i="8"/>
  <c r="D66" i="8"/>
  <c r="E66" i="8"/>
  <c r="F66" i="8"/>
  <c r="G66" i="8"/>
  <c r="C63" i="8"/>
  <c r="D64" i="8"/>
  <c r="E64" i="8"/>
  <c r="F64" i="8"/>
  <c r="G64" i="8"/>
  <c r="H64" i="8"/>
  <c r="I64" i="8"/>
  <c r="J64" i="8"/>
  <c r="K64" i="8"/>
  <c r="L64" i="8"/>
  <c r="C64" i="8"/>
  <c r="D61" i="8"/>
  <c r="E61" i="8"/>
  <c r="F61" i="8"/>
  <c r="G61" i="8"/>
  <c r="H61" i="8"/>
  <c r="I61" i="8"/>
  <c r="J61" i="8"/>
  <c r="K61" i="8"/>
  <c r="L61" i="8"/>
  <c r="D62" i="8"/>
  <c r="E62" i="8"/>
  <c r="F62" i="8"/>
  <c r="G62" i="8"/>
  <c r="H62" i="8"/>
  <c r="I62" i="8"/>
  <c r="J62" i="8"/>
  <c r="K62" i="8"/>
  <c r="L62" i="8"/>
  <c r="D63" i="8"/>
  <c r="E63" i="8"/>
  <c r="F63" i="8"/>
  <c r="G63" i="8"/>
  <c r="H63" i="8"/>
  <c r="I63" i="8"/>
  <c r="J63" i="8"/>
  <c r="K63" i="8"/>
  <c r="L63" i="8"/>
  <c r="C62" i="8"/>
  <c r="C61" i="8"/>
  <c r="D54" i="8"/>
  <c r="E54" i="8"/>
  <c r="F54" i="8"/>
  <c r="G54" i="8"/>
  <c r="H54" i="8"/>
  <c r="I54" i="8"/>
  <c r="J54" i="8"/>
  <c r="K54" i="8"/>
  <c r="L54" i="8"/>
  <c r="D55" i="8"/>
  <c r="E55" i="8"/>
  <c r="F55" i="8"/>
  <c r="G55" i="8"/>
  <c r="H55" i="8"/>
  <c r="I55" i="8"/>
  <c r="J55" i="8"/>
  <c r="K55" i="8"/>
  <c r="L55" i="8"/>
  <c r="D56" i="8"/>
  <c r="E56" i="8"/>
  <c r="F56" i="8"/>
  <c r="G56" i="8"/>
  <c r="H56" i="8"/>
  <c r="I56" i="8"/>
  <c r="J56" i="8"/>
  <c r="K56" i="8"/>
  <c r="L56" i="8"/>
  <c r="C55" i="8"/>
  <c r="C56" i="8"/>
  <c r="C54" i="8"/>
  <c r="D47" i="8"/>
  <c r="E47" i="8"/>
  <c r="F47" i="8"/>
  <c r="G47" i="8"/>
  <c r="H47" i="8"/>
  <c r="I47" i="8"/>
  <c r="J47" i="8"/>
  <c r="K47" i="8"/>
  <c r="L47" i="8"/>
  <c r="D48" i="8"/>
  <c r="E48" i="8"/>
  <c r="F48" i="8"/>
  <c r="G48" i="8"/>
  <c r="H48" i="8"/>
  <c r="I48" i="8"/>
  <c r="J48" i="8"/>
  <c r="K48" i="8"/>
  <c r="L48" i="8"/>
  <c r="D49" i="8"/>
  <c r="E49" i="8"/>
  <c r="F49" i="8"/>
  <c r="G49" i="8"/>
  <c r="H49" i="8"/>
  <c r="I49" i="8"/>
  <c r="J49" i="8"/>
  <c r="K49" i="8"/>
  <c r="L49" i="8"/>
  <c r="D50" i="8"/>
  <c r="E50" i="8"/>
  <c r="F50" i="8"/>
  <c r="G50" i="8"/>
  <c r="H50" i="8"/>
  <c r="I50" i="8"/>
  <c r="J50" i="8"/>
  <c r="K50" i="8"/>
  <c r="L50" i="8"/>
  <c r="D51" i="8"/>
  <c r="E51" i="8"/>
  <c r="F51" i="8"/>
  <c r="G51" i="8"/>
  <c r="H51" i="8"/>
  <c r="I51" i="8"/>
  <c r="J51" i="8"/>
  <c r="K51" i="8"/>
  <c r="L51" i="8"/>
  <c r="C48" i="8"/>
  <c r="C49" i="8"/>
  <c r="C50" i="8"/>
  <c r="C51" i="8"/>
  <c r="C47" i="8"/>
  <c r="M40" i="8"/>
  <c r="D35" i="8"/>
  <c r="D40" i="8" s="1"/>
  <c r="E35" i="8"/>
  <c r="E40" i="8" s="1"/>
  <c r="F35" i="8"/>
  <c r="F40" i="8" s="1"/>
  <c r="G35" i="8"/>
  <c r="G40" i="8" s="1"/>
  <c r="H35" i="8"/>
  <c r="H40" i="8" s="1"/>
  <c r="I35" i="8"/>
  <c r="I40" i="8" s="1"/>
  <c r="J35" i="8"/>
  <c r="J40" i="8" s="1"/>
  <c r="K35" i="8"/>
  <c r="K40" i="8" s="1"/>
  <c r="L35" i="8"/>
  <c r="L40" i="8" s="1"/>
  <c r="C35" i="8"/>
  <c r="C40" i="8" s="1"/>
  <c r="M32" i="8"/>
  <c r="D32" i="8"/>
  <c r="E32" i="8"/>
  <c r="F32" i="8"/>
  <c r="G32" i="8"/>
  <c r="G37" i="8" s="1"/>
  <c r="G43" i="8" s="1"/>
  <c r="H32" i="8"/>
  <c r="I32" i="8"/>
  <c r="J32" i="8"/>
  <c r="K32" i="8"/>
  <c r="L32" i="8"/>
  <c r="C32" i="8"/>
  <c r="M29" i="8"/>
  <c r="D29" i="8"/>
  <c r="D30" i="8" s="1"/>
  <c r="E29" i="8"/>
  <c r="F29" i="8"/>
  <c r="G29" i="8"/>
  <c r="H29" i="8"/>
  <c r="I29" i="8"/>
  <c r="J29" i="8"/>
  <c r="K29" i="8"/>
  <c r="L29" i="8"/>
  <c r="C29" i="8"/>
  <c r="M23" i="8"/>
  <c r="M20" i="8"/>
  <c r="D23" i="8"/>
  <c r="E23" i="8"/>
  <c r="F23" i="8"/>
  <c r="G23" i="8"/>
  <c r="H23" i="8"/>
  <c r="I23" i="8"/>
  <c r="J23" i="8"/>
  <c r="K23" i="8"/>
  <c r="L23" i="8"/>
  <c r="C23" i="8"/>
  <c r="D14" i="8"/>
  <c r="E14" i="8"/>
  <c r="F14" i="8"/>
  <c r="G14" i="8"/>
  <c r="H14" i="8"/>
  <c r="I14" i="8"/>
  <c r="J14" i="8"/>
  <c r="K14" i="8"/>
  <c r="L14" i="8"/>
  <c r="C14" i="8"/>
  <c r="M8" i="8"/>
  <c r="D8" i="8"/>
  <c r="D9" i="8" s="1"/>
  <c r="E8" i="8"/>
  <c r="F8" i="8"/>
  <c r="G8" i="8"/>
  <c r="H8" i="8"/>
  <c r="I8" i="8"/>
  <c r="J8" i="8"/>
  <c r="K8" i="8"/>
  <c r="L8" i="8"/>
  <c r="C8" i="8"/>
  <c r="M5" i="8"/>
  <c r="M15" i="8" s="1"/>
  <c r="D5" i="8"/>
  <c r="D21" i="8" s="1"/>
  <c r="E5" i="8"/>
  <c r="E6" i="8" s="1"/>
  <c r="F5" i="8"/>
  <c r="F21" i="8" s="1"/>
  <c r="G5" i="8"/>
  <c r="H5" i="8"/>
  <c r="H21" i="8" s="1"/>
  <c r="I5" i="8"/>
  <c r="I21" i="8" s="1"/>
  <c r="J5" i="8"/>
  <c r="J21" i="8" s="1"/>
  <c r="K5" i="8"/>
  <c r="K21" i="8" s="1"/>
  <c r="L5" i="8"/>
  <c r="C5" i="8"/>
  <c r="C21" i="8" s="1"/>
  <c r="B2" i="8"/>
  <c r="D3" i="8"/>
  <c r="E3" i="8"/>
  <c r="F3" i="8"/>
  <c r="G3" i="8"/>
  <c r="H3" i="8"/>
  <c r="I3" i="8"/>
  <c r="J3" i="8"/>
  <c r="K3" i="8"/>
  <c r="L3" i="8"/>
  <c r="C3" i="8"/>
  <c r="C6" i="3"/>
  <c r="D6" i="3"/>
  <c r="E6" i="3"/>
  <c r="F6" i="3"/>
  <c r="G6" i="3"/>
  <c r="G14" i="3" s="1"/>
  <c r="H6" i="3"/>
  <c r="I6" i="3"/>
  <c r="L6" i="1" s="1"/>
  <c r="J6" i="3"/>
  <c r="K6" i="3"/>
  <c r="B6" i="3"/>
  <c r="C5" i="1"/>
  <c r="D5" i="1"/>
  <c r="E5" i="1"/>
  <c r="E6" i="1" s="1"/>
  <c r="E19" i="1" s="1"/>
  <c r="F5" i="1"/>
  <c r="G5" i="1"/>
  <c r="H5" i="1"/>
  <c r="I5" i="1"/>
  <c r="J5" i="1"/>
  <c r="K5" i="1"/>
  <c r="B5" i="1"/>
  <c r="D13" i="1" s="1"/>
  <c r="J13" i="1"/>
  <c r="J14" i="1" s="1"/>
  <c r="B6" i="6"/>
  <c r="C17" i="2"/>
  <c r="D17" i="2"/>
  <c r="D20" i="2" s="1"/>
  <c r="E17" i="2"/>
  <c r="F17" i="2"/>
  <c r="G17" i="2"/>
  <c r="H17" i="2"/>
  <c r="I17" i="2"/>
  <c r="J17" i="2"/>
  <c r="K17" i="2"/>
  <c r="C18" i="2"/>
  <c r="D18" i="2"/>
  <c r="E18" i="2"/>
  <c r="E21" i="2" s="1"/>
  <c r="F18" i="2"/>
  <c r="G18" i="2"/>
  <c r="G21" i="2" s="1"/>
  <c r="H18" i="2"/>
  <c r="I18" i="2"/>
  <c r="J18" i="2"/>
  <c r="K18" i="2"/>
  <c r="B17" i="2"/>
  <c r="C4" i="2"/>
  <c r="D4" i="2"/>
  <c r="E4" i="2"/>
  <c r="E5" i="2"/>
  <c r="F4" i="2"/>
  <c r="G4" i="2"/>
  <c r="G23" i="2" s="1"/>
  <c r="H4" i="2"/>
  <c r="I4" i="2"/>
  <c r="I23" i="2" s="1"/>
  <c r="I5" i="2"/>
  <c r="J4" i="2"/>
  <c r="J5" i="2"/>
  <c r="K4" i="2"/>
  <c r="C5" i="2"/>
  <c r="D5" i="2"/>
  <c r="F5" i="2"/>
  <c r="F23" i="2" s="1"/>
  <c r="G5" i="2"/>
  <c r="H5" i="2"/>
  <c r="H23" i="2" s="1"/>
  <c r="K5" i="2"/>
  <c r="C6" i="2"/>
  <c r="D6" i="2"/>
  <c r="E6" i="2"/>
  <c r="F6" i="2"/>
  <c r="G6" i="2"/>
  <c r="H6" i="2"/>
  <c r="I6" i="2"/>
  <c r="J6" i="2"/>
  <c r="K6" i="2"/>
  <c r="C7" i="2"/>
  <c r="D7" i="2"/>
  <c r="D16" i="2" s="1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D4" i="3"/>
  <c r="D14" i="3" s="1"/>
  <c r="E4" i="3"/>
  <c r="F4" i="3"/>
  <c r="F14" i="3" s="1"/>
  <c r="G4" i="3"/>
  <c r="H4" i="3"/>
  <c r="L4" i="1" s="1"/>
  <c r="L23" i="1" s="1"/>
  <c r="I4" i="3"/>
  <c r="J4" i="3"/>
  <c r="J14" i="3" s="1"/>
  <c r="K4" i="3"/>
  <c r="K14" i="3" s="1"/>
  <c r="C5" i="3"/>
  <c r="D5" i="3"/>
  <c r="E5" i="3"/>
  <c r="F5" i="3"/>
  <c r="G5" i="3"/>
  <c r="H5" i="3"/>
  <c r="I5" i="3"/>
  <c r="L5" i="1" s="1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L10" i="1" s="1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L12" i="1" s="1"/>
  <c r="L13" i="1" s="1"/>
  <c r="L14" i="1" s="1"/>
  <c r="L25" i="1" s="1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G6" i="1" s="1"/>
  <c r="G19" i="1" s="1"/>
  <c r="H4" i="1"/>
  <c r="I4" i="1"/>
  <c r="J4" i="1"/>
  <c r="K4" i="1"/>
  <c r="K6" i="1" s="1"/>
  <c r="K19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E23" i="2" s="1"/>
  <c r="F12" i="1"/>
  <c r="F13" i="1" s="1"/>
  <c r="F14" i="1" s="1"/>
  <c r="G12" i="1"/>
  <c r="G13" i="1" s="1"/>
  <c r="G14" i="1" s="1"/>
  <c r="H12" i="1"/>
  <c r="I12" i="1"/>
  <c r="J12" i="1"/>
  <c r="K12" i="1"/>
  <c r="K13" i="1" s="1"/>
  <c r="K14" i="1" s="1"/>
  <c r="C15" i="1"/>
  <c r="D15" i="1"/>
  <c r="D14" i="1" s="1"/>
  <c r="E15" i="1"/>
  <c r="F15" i="1"/>
  <c r="G15" i="1"/>
  <c r="H15" i="1"/>
  <c r="I15" i="1"/>
  <c r="J15" i="1"/>
  <c r="K15" i="1"/>
  <c r="B15" i="1"/>
  <c r="H13" i="1"/>
  <c r="I13" i="1"/>
  <c r="B7" i="1"/>
  <c r="B4" i="1"/>
  <c r="B20" i="2" s="1"/>
  <c r="A1" i="1"/>
  <c r="A1" i="3" s="1"/>
  <c r="E1" i="6"/>
  <c r="H1" i="1" s="1"/>
  <c r="H16" i="2"/>
  <c r="K23" i="2"/>
  <c r="C23" i="2"/>
  <c r="K16" i="2"/>
  <c r="C16" i="2"/>
  <c r="F16" i="2"/>
  <c r="D23" i="2"/>
  <c r="J6" i="1"/>
  <c r="J19" i="1"/>
  <c r="C6" i="1"/>
  <c r="C19" i="1" s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F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J20" i="2"/>
  <c r="C20" i="2"/>
  <c r="E20" i="2"/>
  <c r="L11" i="1"/>
  <c r="I23" i="1"/>
  <c r="F54" i="19" l="1"/>
  <c r="G57" i="19"/>
  <c r="F57" i="19"/>
  <c r="I31" i="19"/>
  <c r="I34" i="19" s="1"/>
  <c r="I55" i="19" s="1"/>
  <c r="I39" i="19"/>
  <c r="I45" i="19" s="1"/>
  <c r="I46" i="19" s="1"/>
  <c r="I54" i="19" s="1"/>
  <c r="H31" i="19"/>
  <c r="H34" i="19" s="1"/>
  <c r="H55" i="19" s="1"/>
  <c r="H39" i="19"/>
  <c r="H45" i="19" s="1"/>
  <c r="H46" i="19" s="1"/>
  <c r="H54" i="19" s="1"/>
  <c r="E36" i="13"/>
  <c r="M32" i="13" s="1"/>
  <c r="M34" i="13" s="1"/>
  <c r="K18" i="13"/>
  <c r="J17" i="13"/>
  <c r="K17" i="13"/>
  <c r="J18" i="13"/>
  <c r="N14" i="12"/>
  <c r="N13" i="12"/>
  <c r="N12" i="12"/>
  <c r="N11" i="12"/>
  <c r="N10" i="12"/>
  <c r="N9" i="12"/>
  <c r="N8" i="12"/>
  <c r="N7" i="12"/>
  <c r="N6" i="12"/>
  <c r="I14" i="12"/>
  <c r="I13" i="12"/>
  <c r="I12" i="12"/>
  <c r="I11" i="12"/>
  <c r="I10" i="12"/>
  <c r="I9" i="12"/>
  <c r="I8" i="12"/>
  <c r="I7" i="12"/>
  <c r="I6" i="12"/>
  <c r="D10" i="12"/>
  <c r="D9" i="12"/>
  <c r="D8" i="12"/>
  <c r="D7" i="12"/>
  <c r="D14" i="12"/>
  <c r="D13" i="12"/>
  <c r="D12" i="12"/>
  <c r="D11" i="12"/>
  <c r="D6" i="12"/>
  <c r="E36" i="11"/>
  <c r="C36" i="11"/>
  <c r="F36" i="11"/>
  <c r="G36" i="11"/>
  <c r="H36" i="11"/>
  <c r="I36" i="11"/>
  <c r="F95" i="8"/>
  <c r="L95" i="8"/>
  <c r="J106" i="8"/>
  <c r="J95" i="8"/>
  <c r="L106" i="8"/>
  <c r="K106" i="8"/>
  <c r="D95" i="8"/>
  <c r="L108" i="8"/>
  <c r="J108" i="8"/>
  <c r="F106" i="8"/>
  <c r="I95" i="8"/>
  <c r="H106" i="8"/>
  <c r="D106" i="8"/>
  <c r="K95" i="8"/>
  <c r="I106" i="8"/>
  <c r="E106" i="8"/>
  <c r="H95" i="8"/>
  <c r="G106" i="8"/>
  <c r="G95" i="8"/>
  <c r="E95" i="8"/>
  <c r="C106" i="8"/>
  <c r="C95" i="8"/>
  <c r="G41" i="8"/>
  <c r="H30" i="8"/>
  <c r="I9" i="8"/>
  <c r="H15" i="8"/>
  <c r="F24" i="8"/>
  <c r="F30" i="8"/>
  <c r="E30" i="8"/>
  <c r="D33" i="8"/>
  <c r="M41" i="8"/>
  <c r="E37" i="8"/>
  <c r="F15" i="8"/>
  <c r="D37" i="8"/>
  <c r="F37" i="8"/>
  <c r="G38" i="8" s="1"/>
  <c r="G30" i="8"/>
  <c r="M33" i="8"/>
  <c r="M30" i="8"/>
  <c r="C30" i="8"/>
  <c r="C33" i="8"/>
  <c r="M9" i="8"/>
  <c r="L30" i="8"/>
  <c r="L33" i="8"/>
  <c r="K30" i="8"/>
  <c r="J30" i="8"/>
  <c r="J33" i="8"/>
  <c r="K33" i="8"/>
  <c r="I30" i="8"/>
  <c r="I33" i="8"/>
  <c r="K24" i="8"/>
  <c r="H24" i="8"/>
  <c r="H33" i="8"/>
  <c r="H9" i="8"/>
  <c r="F33" i="8"/>
  <c r="D24" i="8"/>
  <c r="E33" i="8"/>
  <c r="C37" i="8"/>
  <c r="G33" i="8"/>
  <c r="G6" i="8"/>
  <c r="F9" i="8"/>
  <c r="E15" i="8"/>
  <c r="M21" i="8"/>
  <c r="M37" i="8"/>
  <c r="L37" i="8"/>
  <c r="C24" i="8"/>
  <c r="K37" i="8"/>
  <c r="L24" i="8"/>
  <c r="J37" i="8"/>
  <c r="I37" i="8"/>
  <c r="L15" i="8"/>
  <c r="J24" i="8"/>
  <c r="H37" i="8"/>
  <c r="K15" i="8"/>
  <c r="I24" i="8"/>
  <c r="G24" i="8"/>
  <c r="M24" i="8"/>
  <c r="D15" i="8"/>
  <c r="C15" i="8"/>
  <c r="L9" i="8"/>
  <c r="K9" i="8"/>
  <c r="J15" i="8"/>
  <c r="J9" i="8"/>
  <c r="I15" i="8"/>
  <c r="G21" i="8"/>
  <c r="G15" i="8"/>
  <c r="E21" i="8"/>
  <c r="H6" i="8"/>
  <c r="G9" i="8"/>
  <c r="F6" i="8"/>
  <c r="E24" i="8"/>
  <c r="E9" i="8"/>
  <c r="M6" i="8"/>
  <c r="L6" i="8"/>
  <c r="K6" i="8"/>
  <c r="L21" i="8"/>
  <c r="J6" i="8"/>
  <c r="I6" i="8"/>
  <c r="C9" i="8"/>
  <c r="G11" i="8"/>
  <c r="C11" i="8"/>
  <c r="L11" i="8"/>
  <c r="F11" i="8"/>
  <c r="K11" i="8"/>
  <c r="E11" i="8"/>
  <c r="J11" i="8"/>
  <c r="D11" i="8"/>
  <c r="I11" i="8"/>
  <c r="H11" i="8"/>
  <c r="D6" i="8"/>
  <c r="M11" i="8"/>
  <c r="L19" i="1"/>
  <c r="L24" i="1" s="1"/>
  <c r="N11" i="1"/>
  <c r="M11" i="1"/>
  <c r="G20" i="2"/>
  <c r="F20" i="2"/>
  <c r="E24" i="2"/>
  <c r="H14" i="3"/>
  <c r="J23" i="2"/>
  <c r="D24" i="2"/>
  <c r="L9" i="1"/>
  <c r="F24" i="2"/>
  <c r="I14" i="3"/>
  <c r="E1" i="3"/>
  <c r="C14" i="3"/>
  <c r="I16" i="2"/>
  <c r="K24" i="2"/>
  <c r="K20" i="2"/>
  <c r="I6" i="1"/>
  <c r="I19" i="1" s="1"/>
  <c r="K24" i="1" s="1"/>
  <c r="M24" i="1" s="1"/>
  <c r="E1" i="2"/>
  <c r="I14" i="1"/>
  <c r="K25" i="1" s="1"/>
  <c r="M25" i="1" s="1"/>
  <c r="M14" i="1" s="1"/>
  <c r="C24" i="2"/>
  <c r="A1" i="2"/>
  <c r="A1" i="4" s="1"/>
  <c r="J23" i="1"/>
  <c r="B23" i="2"/>
  <c r="H14" i="1"/>
  <c r="G16" i="2"/>
  <c r="E13" i="1"/>
  <c r="E14" i="1" s="1"/>
  <c r="J24" i="2"/>
  <c r="H23" i="1"/>
  <c r="I24" i="2"/>
  <c r="H24" i="2"/>
  <c r="G24" i="2"/>
  <c r="B14" i="1"/>
  <c r="J25" i="1"/>
  <c r="M9" i="1"/>
  <c r="N9" i="1"/>
  <c r="N8" i="1"/>
  <c r="M8" i="1"/>
  <c r="N23" i="1"/>
  <c r="N4" i="1" s="1"/>
  <c r="I20" i="2"/>
  <c r="H20" i="2"/>
  <c r="K23" i="1"/>
  <c r="M23" i="1" s="1"/>
  <c r="M4" i="1" s="1"/>
  <c r="H6" i="1"/>
  <c r="H19" i="1" s="1"/>
  <c r="J24" i="1" s="1"/>
  <c r="F6" i="1"/>
  <c r="F19" i="1" s="1"/>
  <c r="H24" i="1" s="1"/>
  <c r="E1" i="4"/>
  <c r="I49" i="19" l="1"/>
  <c r="I57" i="19"/>
  <c r="H57" i="19"/>
  <c r="I48" i="19"/>
  <c r="N15" i="12"/>
  <c r="I15" i="12"/>
  <c r="I16" i="12" s="1"/>
  <c r="I17" i="12" s="1"/>
  <c r="D15" i="12"/>
  <c r="D108" i="8"/>
  <c r="I108" i="8"/>
  <c r="E108" i="8"/>
  <c r="K108" i="8"/>
  <c r="G108" i="8"/>
  <c r="H108" i="8"/>
  <c r="F108" i="8"/>
  <c r="C108" i="8"/>
  <c r="I38" i="8"/>
  <c r="I41" i="8"/>
  <c r="I43" i="8"/>
  <c r="C41" i="8"/>
  <c r="C43" i="8"/>
  <c r="J38" i="8"/>
  <c r="J43" i="8"/>
  <c r="D43" i="8"/>
  <c r="D38" i="8"/>
  <c r="D41" i="8"/>
  <c r="E43" i="8"/>
  <c r="E41" i="8"/>
  <c r="E38" i="8"/>
  <c r="H38" i="8"/>
  <c r="H41" i="8"/>
  <c r="H43" i="8"/>
  <c r="F43" i="8"/>
  <c r="F38" i="8"/>
  <c r="F41" i="8"/>
  <c r="J41" i="8"/>
  <c r="K38" i="8"/>
  <c r="K43" i="8"/>
  <c r="L38" i="8"/>
  <c r="L41" i="8"/>
  <c r="L43" i="8"/>
  <c r="M38" i="8"/>
  <c r="M43" i="8"/>
  <c r="K41" i="8"/>
  <c r="M17" i="8"/>
  <c r="M12" i="8"/>
  <c r="H17" i="8"/>
  <c r="H12" i="8"/>
  <c r="C17" i="8"/>
  <c r="C12" i="8"/>
  <c r="I17" i="8"/>
  <c r="I12" i="8"/>
  <c r="G17" i="8"/>
  <c r="G12" i="8"/>
  <c r="D17" i="8"/>
  <c r="D12" i="8"/>
  <c r="F17" i="8"/>
  <c r="F12" i="8"/>
  <c r="J17" i="8"/>
  <c r="J12" i="8"/>
  <c r="E17" i="8"/>
  <c r="E12" i="8"/>
  <c r="K17" i="8"/>
  <c r="K12" i="8"/>
  <c r="L17" i="8"/>
  <c r="L12" i="8"/>
  <c r="I25" i="1"/>
  <c r="H25" i="1"/>
  <c r="N25" i="1" s="1"/>
  <c r="N14" i="1" s="1"/>
  <c r="I24" i="1"/>
  <c r="N24" i="1" s="1"/>
  <c r="N6" i="1" s="1"/>
  <c r="M6" i="1"/>
  <c r="M10" i="1" s="1"/>
  <c r="M12" i="1" s="1"/>
  <c r="M13" i="1" s="1"/>
  <c r="M15" i="1" s="1"/>
  <c r="D16" i="12" l="1"/>
  <c r="E15" i="12"/>
  <c r="N16" i="12"/>
  <c r="C32" i="12"/>
  <c r="I18" i="12"/>
  <c r="I19" i="12" s="1"/>
  <c r="C29" i="12"/>
  <c r="L18" i="8"/>
  <c r="L26" i="8"/>
  <c r="L27" i="8" s="1"/>
  <c r="C18" i="8"/>
  <c r="C26" i="8"/>
  <c r="C27" i="8" s="1"/>
  <c r="G18" i="8"/>
  <c r="G26" i="8"/>
  <c r="G27" i="8" s="1"/>
  <c r="I18" i="8"/>
  <c r="I26" i="8"/>
  <c r="I27" i="8" s="1"/>
  <c r="D18" i="8"/>
  <c r="D26" i="8"/>
  <c r="D27" i="8" s="1"/>
  <c r="K18" i="8"/>
  <c r="K26" i="8"/>
  <c r="K27" i="8" s="1"/>
  <c r="E18" i="8"/>
  <c r="E26" i="8"/>
  <c r="E27" i="8" s="1"/>
  <c r="J18" i="8"/>
  <c r="J26" i="8"/>
  <c r="J27" i="8" s="1"/>
  <c r="H18" i="8"/>
  <c r="H26" i="8"/>
  <c r="H27" i="8" s="1"/>
  <c r="F18" i="8"/>
  <c r="F26" i="8"/>
  <c r="F27" i="8" s="1"/>
  <c r="M18" i="8"/>
  <c r="M26" i="8"/>
  <c r="M27" i="8" s="1"/>
  <c r="N10" i="1"/>
  <c r="N12" i="1" s="1"/>
  <c r="N13" i="1" s="1"/>
  <c r="N15" i="1" s="1"/>
  <c r="N5" i="1"/>
  <c r="M5" i="1"/>
  <c r="D17" i="12" l="1"/>
  <c r="E17" i="12" s="1"/>
  <c r="E16" i="12"/>
  <c r="N17" i="12"/>
  <c r="D18" i="12" l="1"/>
  <c r="N18" i="12"/>
  <c r="D19" i="12" l="1"/>
  <c r="E19" i="12" s="1"/>
  <c r="E18" i="12"/>
  <c r="N19" i="12"/>
</calcChain>
</file>

<file path=xl/sharedStrings.xml><?xml version="1.0" encoding="utf-8"?>
<sst xmlns="http://schemas.openxmlformats.org/spreadsheetml/2006/main" count="494" uniqueCount="356">
  <si>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</si>
  <si>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</si>
  <si>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</si>
  <si>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</si>
  <si>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</si>
  <si>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</si>
  <si>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</si>
  <si>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</si>
  <si>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</si>
  <si>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</si>
  <si>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</si>
  <si>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</si>
  <si>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</si>
  <si>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</si>
  <si>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</si>
  <si>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</si>
  <si>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</si>
  <si>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</si>
  <si>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</si>
  <si>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</si>
  <si>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</si>
  <si>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</si>
  <si>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</si>
  <si>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</si>
  <si>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</si>
  <si>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</si>
  <si>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</si>
  <si>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</si>
  <si>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</si>
  <si>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</si>
  <si>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</si>
  <si>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</si>
  <si>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</si>
  <si>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</si>
  <si>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</si>
  <si>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</si>
  <si>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</si>
  <si>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</si>
  <si>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</si>
  <si>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</si>
  <si>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</si>
  <si>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</si>
  <si>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</si>
  <si>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</si>
  <si>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</si>
  <si>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</si>
  <si>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</si>
  <si>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</si>
  <si>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</si>
  <si>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</si>
  <si>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</si>
  <si>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</si>
  <si>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</si>
  <si>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</si>
  <si>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TATA MOTORS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</si>
  <si>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</si>
  <si>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</si>
  <si>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</si>
  <si>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</si>
  <si>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</si>
  <si>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</si>
  <si>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</si>
  <si>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</si>
  <si>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</si>
  <si>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</si>
  <si>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</si>
  <si>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</si>
  <si>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</si>
  <si>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</si>
  <si>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</si>
  <si>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</si>
  <si>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</si>
  <si>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</si>
  <si>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</si>
  <si>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</si>
  <si>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</si>
  <si>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</si>
  <si>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</si>
  <si>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</si>
  <si>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</si>
  <si>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</si>
  <si>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 xml:space="preserve">Years </t>
  </si>
  <si>
    <t>LTM</t>
  </si>
  <si>
    <t>#</t>
  </si>
  <si>
    <t xml:space="preserve">Income Statement </t>
  </si>
  <si>
    <t>COGS</t>
  </si>
  <si>
    <t>Gross Margine(COGS % Sales)</t>
  </si>
  <si>
    <t>Gross Profit</t>
  </si>
  <si>
    <t>Selling &amp; Gernal Expenses</t>
  </si>
  <si>
    <t>S &amp; G Exp % Sales</t>
  </si>
  <si>
    <t>EBITDA</t>
  </si>
  <si>
    <t>EBITDA % Sales</t>
  </si>
  <si>
    <t>-</t>
  </si>
  <si>
    <t xml:space="preserve">Deprisiation </t>
  </si>
  <si>
    <t>Interest % Sales</t>
  </si>
  <si>
    <t>Deprisiation % Sales</t>
  </si>
  <si>
    <t>EBT</t>
  </si>
  <si>
    <t xml:space="preserve">EBT %  Sales </t>
  </si>
  <si>
    <t>TAX</t>
  </si>
  <si>
    <t>Gross Profit % Sales</t>
  </si>
  <si>
    <t xml:space="preserve">TAX % Sales </t>
  </si>
  <si>
    <t xml:space="preserve">Net Profit </t>
  </si>
  <si>
    <t>Net Profit % Sales</t>
  </si>
  <si>
    <t xml:space="preserve">No Of Equity Share </t>
  </si>
  <si>
    <t xml:space="preserve">Dividend per Share </t>
  </si>
  <si>
    <t>EPS Growth %</t>
  </si>
  <si>
    <t>Dividend Payout Ratio</t>
  </si>
  <si>
    <t>Retained Earning</t>
  </si>
  <si>
    <t>Balance Sheet</t>
  </si>
  <si>
    <t>Total Liablities</t>
  </si>
  <si>
    <t>Fix Asset Net Block</t>
  </si>
  <si>
    <t>Total Non Current Asset</t>
  </si>
  <si>
    <t>Total Current Asset</t>
  </si>
  <si>
    <t>Total Asset</t>
  </si>
  <si>
    <t>Check</t>
  </si>
  <si>
    <r>
      <t>Cash from Operating Activity </t>
    </r>
    <r>
      <rPr>
        <sz val="11"/>
        <color rgb="FF665EFD"/>
        <rFont val="Arial"/>
        <family val="2"/>
      </rPr>
      <t>-</t>
    </r>
  </si>
  <si>
    <t>Profit from operations</t>
  </si>
  <si>
    <t>Payables</t>
  </si>
  <si>
    <t>Loans Advances</t>
  </si>
  <si>
    <t>Other WC items</t>
  </si>
  <si>
    <t>Working capital changes</t>
  </si>
  <si>
    <t>Direct taxes</t>
  </si>
  <si>
    <r>
      <t>Cash from Investing Activity </t>
    </r>
    <r>
      <rPr>
        <sz val="11"/>
        <color rgb="FF665EFD"/>
        <rFont val="Arial"/>
        <family val="2"/>
      </rPr>
      <t>-</t>
    </r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</si>
  <si>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</si>
  <si>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</si>
  <si>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</si>
  <si>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</si>
  <si>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</si>
  <si>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</si>
  <si>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</si>
  <si>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</si>
  <si>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</si>
  <si>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</si>
  <si>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</si>
  <si>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r>
      <t>Cash from Financing Activity </t>
    </r>
    <r>
      <rPr>
        <sz val="11"/>
        <color rgb="FF665EFD"/>
        <rFont val="Arial"/>
        <family val="2"/>
      </rPr>
      <t>-</t>
    </r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</si>
  <si>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</si>
  <si>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</si>
  <si>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</si>
  <si>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</si>
  <si>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</si>
  <si>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</si>
  <si>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</si>
  <si>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</si>
  <si>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 xml:space="preserve">Cash Flow </t>
  </si>
  <si>
    <r>
      <t>Operating Activity </t>
    </r>
    <r>
      <rPr>
        <b/>
        <sz val="11"/>
        <color rgb="FF665EFD"/>
        <rFont val="Arial"/>
        <family val="2"/>
      </rPr>
      <t>-</t>
    </r>
  </si>
  <si>
    <r>
      <t>Cash from Operating Activity </t>
    </r>
    <r>
      <rPr>
        <b/>
        <sz val="11"/>
        <color rgb="FF665EFD"/>
        <rFont val="Arial"/>
        <family val="2"/>
      </rPr>
      <t>-</t>
    </r>
  </si>
  <si>
    <r>
      <t>Investing Activity </t>
    </r>
    <r>
      <rPr>
        <b/>
        <sz val="11"/>
        <color rgb="FF665EFD"/>
        <rFont val="Arial"/>
        <family val="2"/>
      </rPr>
      <t>-</t>
    </r>
  </si>
  <si>
    <r>
      <t>Cash from Investing Activity </t>
    </r>
    <r>
      <rPr>
        <b/>
        <sz val="11"/>
        <color rgb="FF665EFD"/>
        <rFont val="Arial"/>
        <family val="2"/>
      </rPr>
      <t>-</t>
    </r>
  </si>
  <si>
    <r>
      <t>Cash from Financing Activity </t>
    </r>
    <r>
      <rPr>
        <b/>
        <sz val="11"/>
        <color rgb="FF665EFD"/>
        <rFont val="Arial"/>
        <family val="2"/>
      </rPr>
      <t>-</t>
    </r>
  </si>
  <si>
    <r>
      <t>Financing Activity </t>
    </r>
    <r>
      <rPr>
        <b/>
        <sz val="11"/>
        <color rgb="FF665EFD"/>
        <rFont val="Arial"/>
        <family val="2"/>
      </rPr>
      <t>-</t>
    </r>
  </si>
  <si>
    <t>EBITDA Growth</t>
  </si>
  <si>
    <t>EBIT Growth</t>
  </si>
  <si>
    <t>Net Profit Growth</t>
  </si>
  <si>
    <t>Dividend Growth</t>
  </si>
  <si>
    <t>Gross Margine</t>
  </si>
  <si>
    <t>EBITDA Magrine</t>
  </si>
  <si>
    <t>EBIT Margine</t>
  </si>
  <si>
    <t>Net Profit Margine</t>
  </si>
  <si>
    <t>SalesEXpenses %sales</t>
  </si>
  <si>
    <t>Deprisiation%Sales</t>
  </si>
  <si>
    <t>OperatinMargine%Sales</t>
  </si>
  <si>
    <t>Return on Capital Employed</t>
  </si>
  <si>
    <t>Return On Equity%</t>
  </si>
  <si>
    <t>Self sustained Growth Rate</t>
  </si>
  <si>
    <t>Intrest Coverage Ratio</t>
  </si>
  <si>
    <t>Creditor Turnover Ratio</t>
  </si>
  <si>
    <t>Inventry Turnover Ratio</t>
  </si>
  <si>
    <t xml:space="preserve">Fixed Asset Turnover </t>
  </si>
  <si>
    <t xml:space="preserve">Capital Turnover </t>
  </si>
  <si>
    <t>Debtor Turnover Ratio</t>
  </si>
  <si>
    <t>Debtors Days</t>
  </si>
  <si>
    <t>Payable Days</t>
  </si>
  <si>
    <t>Inventory Days</t>
  </si>
  <si>
    <t>Cash Conversion Cycle</t>
  </si>
  <si>
    <t>CFO/ Sales</t>
  </si>
  <si>
    <t>CFO/Total Asset</t>
  </si>
  <si>
    <t>CFO/Total Debt</t>
  </si>
  <si>
    <t>Mean</t>
  </si>
  <si>
    <t>Median</t>
  </si>
  <si>
    <t>Trend</t>
  </si>
  <si>
    <t>Year Weight</t>
  </si>
  <si>
    <t>Year</t>
  </si>
  <si>
    <t>Arithmatic Mean</t>
  </si>
  <si>
    <t>Geometric Mean</t>
  </si>
  <si>
    <t>Standard Deviation</t>
  </si>
  <si>
    <t>EPS Growth</t>
  </si>
  <si>
    <t>Weighted Average Cost of Capital</t>
  </si>
  <si>
    <t>All Figures are in INR Unless satrted otherwise</t>
  </si>
  <si>
    <t>Peer Comps</t>
  </si>
  <si>
    <t>Name Of The Comp</t>
  </si>
  <si>
    <t xml:space="preserve">Country </t>
  </si>
  <si>
    <t xml:space="preserve">Total Debt </t>
  </si>
  <si>
    <t xml:space="preserve">Total Equity </t>
  </si>
  <si>
    <r>
      <t xml:space="preserve">Tax Rate </t>
    </r>
    <r>
      <rPr>
        <vertAlign val="superscript"/>
        <sz val="11"/>
        <color theme="1"/>
        <rFont val="Calibri"/>
        <family val="2"/>
        <scheme val="minor"/>
      </rPr>
      <t>1</t>
    </r>
  </si>
  <si>
    <t>Debt /</t>
  </si>
  <si>
    <t>Equity</t>
  </si>
  <si>
    <t>Debt/</t>
  </si>
  <si>
    <t>Capital</t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</si>
  <si>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</si>
  <si>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3</t>
    </r>
  </si>
  <si>
    <t>Unleverd</t>
  </si>
  <si>
    <t>Leverd</t>
  </si>
  <si>
    <t>India</t>
  </si>
  <si>
    <t>Average</t>
  </si>
  <si>
    <t xml:space="preserve">Cost Of Debt </t>
  </si>
  <si>
    <t>Cost Of Equity</t>
  </si>
  <si>
    <t>Pre -Tax Cost Of Debt</t>
  </si>
  <si>
    <t>Tax Rate</t>
  </si>
  <si>
    <t>Post -Tax Cost Of Debt</t>
  </si>
  <si>
    <t>Risk Free rate</t>
  </si>
  <si>
    <t xml:space="preserve">Equity Risk Primium </t>
  </si>
  <si>
    <r>
      <t xml:space="preserve">Levered Beta </t>
    </r>
    <r>
      <rPr>
        <vertAlign val="superscript"/>
        <sz val="11"/>
        <color theme="1"/>
        <rFont val="Calibri"/>
        <family val="2"/>
        <scheme val="minor"/>
      </rPr>
      <t>4</t>
    </r>
  </si>
  <si>
    <t>Capital Structure</t>
  </si>
  <si>
    <t>Total Debt</t>
  </si>
  <si>
    <t xml:space="preserve">Market Capitalization </t>
  </si>
  <si>
    <t>Total Capital</t>
  </si>
  <si>
    <t>Current</t>
  </si>
  <si>
    <t>Target</t>
  </si>
  <si>
    <t xml:space="preserve">Cost Of Equity </t>
  </si>
  <si>
    <t>Leveard Beta</t>
  </si>
  <si>
    <t>Comps Median Unleverad Beta</t>
  </si>
  <si>
    <t>Target Rate /Equity</t>
  </si>
  <si>
    <t>Leverad Beta</t>
  </si>
  <si>
    <t>Debt / Equity</t>
  </si>
  <si>
    <t>1. Tax Rate considered as Marginal Tax Rate for the country</t>
  </si>
  <si>
    <t>2. Levered Beta is based on 2 year Weekly data</t>
  </si>
  <si>
    <t>3. Unlevered Beta = Levered Beta/(1+(1-Tax Rate) x Debt/Equity)</t>
  </si>
  <si>
    <t>3. Levered Beta = Unlevered Beta/(1+(1-Tax Rate) x Debt/Equity)</t>
  </si>
  <si>
    <t>Date</t>
  </si>
  <si>
    <t>Closing Price</t>
  </si>
  <si>
    <t>Return</t>
  </si>
  <si>
    <t>Avenue Supermart Weekly Report</t>
  </si>
  <si>
    <t>NIFTY Returns</t>
  </si>
  <si>
    <t xml:space="preserve">Beta 1 </t>
  </si>
  <si>
    <t>beta2</t>
  </si>
  <si>
    <t xml:space="preserve">Beta 3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</si>
  <si>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</si>
  <si>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</si>
  <si>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</si>
  <si>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</si>
  <si>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</si>
  <si>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</si>
  <si>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</si>
  <si>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</si>
  <si>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</si>
  <si>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</si>
  <si>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</si>
  <si>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</si>
  <si>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</si>
  <si>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</si>
  <si>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</si>
  <si>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</si>
  <si>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</si>
  <si>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</si>
  <si>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</si>
  <si>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</si>
  <si>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</si>
  <si>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</si>
  <si>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</si>
  <si>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</si>
  <si>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 xml:space="preserve">Beta drifting </t>
  </si>
  <si>
    <t>Leaverged Raw Beta</t>
  </si>
  <si>
    <t>Raw Beta Weight</t>
  </si>
  <si>
    <t>Market Raw Beta</t>
  </si>
  <si>
    <t>Market Beta Weight</t>
  </si>
  <si>
    <t>Adjusted Beta</t>
  </si>
  <si>
    <t>Avenue Super.</t>
  </si>
  <si>
    <t>Vishal Mega Mart</t>
  </si>
  <si>
    <t>S.No.</t>
  </si>
  <si>
    <t>Name</t>
  </si>
  <si>
    <t>CMP Rs.</t>
  </si>
  <si>
    <t>Debt Rs.Cr.</t>
  </si>
  <si>
    <t>Debt / Eq</t>
  </si>
  <si>
    <t>Trent</t>
  </si>
  <si>
    <t>Info Edg.(India)</t>
  </si>
  <si>
    <t>FSN E-Commerce</t>
  </si>
  <si>
    <t>Vedant Fashions</t>
  </si>
  <si>
    <t>Brainbees Solut.</t>
  </si>
  <si>
    <t>A B Lifestyle</t>
  </si>
  <si>
    <t>Indiamart Inter.</t>
  </si>
  <si>
    <t>Medplus Health</t>
  </si>
  <si>
    <t>Cartrade Tech</t>
  </si>
  <si>
    <t>Aditya Bir. Fas.</t>
  </si>
  <si>
    <t>RattanIndia Ent</t>
  </si>
  <si>
    <t xml:space="preserve">Mar Cap Rs.Cr. </t>
  </si>
  <si>
    <t xml:space="preserve">Metro Brands </t>
  </si>
  <si>
    <t>Metro Brands</t>
  </si>
  <si>
    <t>Annual</t>
  </si>
  <si>
    <t>Return On Market</t>
  </si>
  <si>
    <t xml:space="preserve">Average Return </t>
  </si>
  <si>
    <t xml:space="preserve">Dividend yeild </t>
  </si>
  <si>
    <r>
      <t xml:space="preserve">1.24% </t>
    </r>
    <r>
      <rPr>
        <vertAlign val="superscript"/>
        <sz val="11"/>
        <color theme="1"/>
        <rFont val="Calibri"/>
        <family val="2"/>
        <scheme val="minor"/>
      </rPr>
      <t>1</t>
    </r>
  </si>
  <si>
    <t xml:space="preserve">Total return </t>
  </si>
  <si>
    <t>Debt Weight</t>
  </si>
  <si>
    <t>Cost of Equity</t>
  </si>
  <si>
    <t>Equity Weight</t>
  </si>
  <si>
    <t>Particular</t>
  </si>
  <si>
    <t xml:space="preserve">EBITDA </t>
  </si>
  <si>
    <t xml:space="preserve">Total Asset </t>
  </si>
  <si>
    <t>Equity Capital</t>
  </si>
  <si>
    <t>Long term Borrowings</t>
  </si>
  <si>
    <t>Short term Borrowings</t>
  </si>
  <si>
    <t>Lease Liabilities</t>
  </si>
  <si>
    <t>Other Borrowings</t>
  </si>
  <si>
    <r>
      <t>Other Liabilities </t>
    </r>
    <r>
      <rPr>
        <sz val="11"/>
        <color rgb="FF665EFD"/>
        <rFont val="Arial"/>
        <family val="2"/>
      </rPr>
      <t>-</t>
    </r>
  </si>
  <si>
    <t>Non controlling int</t>
  </si>
  <si>
    <t>Trade Payables</t>
  </si>
  <si>
    <t>Advance from Customers</t>
  </si>
  <si>
    <t>Other liability items</t>
  </si>
  <si>
    <t>Total Liabilities</t>
  </si>
  <si>
    <r>
      <t>Fixed Assets </t>
    </r>
    <r>
      <rPr>
        <sz val="11"/>
        <color rgb="FF665EFD"/>
        <rFont val="Arial"/>
        <family val="2"/>
      </rPr>
      <t>-</t>
    </r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</si>
  <si>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</si>
  <si>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</si>
  <si>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</si>
  <si>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</si>
  <si>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</si>
  <si>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</si>
  <si>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</si>
  <si>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</si>
  <si>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</si>
  <si>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</si>
  <si>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</si>
  <si>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r>
      <t>Other Assets </t>
    </r>
    <r>
      <rPr>
        <sz val="11"/>
        <color rgb="FF665EFD"/>
        <rFont val="Arial"/>
        <family val="2"/>
      </rPr>
      <t>-</t>
    </r>
  </si>
  <si>
    <t>Inventories</t>
  </si>
  <si>
    <r>
      <t>Trade receivables </t>
    </r>
    <r>
      <rPr>
        <sz val="11"/>
        <color rgb="FF665EFD"/>
        <rFont val="Arial"/>
        <family val="2"/>
      </rPr>
      <t>-</t>
    </r>
  </si>
  <si>
    <t>Receivables over 6m</t>
  </si>
  <si>
    <t>Receivables under 6m</t>
  </si>
  <si>
    <t>Prov for Doubtful</t>
  </si>
  <si>
    <t>Cash Equivalents</t>
  </si>
  <si>
    <t>Loans n Advances</t>
  </si>
  <si>
    <t>Other asset items</t>
  </si>
  <si>
    <t>Total Assets</t>
  </si>
  <si>
    <t>Particulars</t>
  </si>
  <si>
    <r>
      <t>Borrowings </t>
    </r>
    <r>
      <rPr>
        <b/>
        <sz val="11"/>
        <color rgb="FF665EFD"/>
        <rFont val="Arial"/>
        <family val="2"/>
      </rPr>
      <t>-</t>
    </r>
  </si>
  <si>
    <t>Calculation Of ROIC</t>
  </si>
  <si>
    <t>Total Current asset</t>
  </si>
  <si>
    <t>Current Liablities</t>
  </si>
  <si>
    <t>Total Current Liablities</t>
  </si>
  <si>
    <t>Net Working Capital</t>
  </si>
  <si>
    <t>Non Current Asset</t>
  </si>
  <si>
    <t>Net Non Current Asset</t>
  </si>
  <si>
    <t>Invested Capital</t>
  </si>
  <si>
    <t>EBIT</t>
  </si>
  <si>
    <t>ROIC</t>
  </si>
  <si>
    <t>Net capax</t>
  </si>
  <si>
    <t>Change In Working Capital</t>
  </si>
  <si>
    <t>Marginal Tax Rate</t>
  </si>
  <si>
    <t>EBIT(1-T)</t>
  </si>
  <si>
    <t>Reinvestment</t>
  </si>
  <si>
    <t>Calculation Of Reinvestment Rate</t>
  </si>
  <si>
    <t>Reinstemnt Rate</t>
  </si>
  <si>
    <t>4 Year Average</t>
  </si>
  <si>
    <t>4 Year Median</t>
  </si>
  <si>
    <t xml:space="preserve">Calculation Of Growth Rate </t>
  </si>
  <si>
    <t>Intrensic Growth</t>
  </si>
  <si>
    <t>WACC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</si>
</sst>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[$-409]mmmm\-yy;@"/>
    <numFmt numFmtId="167" formatCode="[$₹-44F]#,##0.00"/>
    <numFmt numFmtId="168" formatCode="[$₹-439]#,##0;[Red][$₹-439]\-#,##0"/>
    <numFmt numFmtId="169" formatCode="0.00&quot;x&quot;"/>
    <numFmt numFmtId="170" formatCode="0&quot; Days&quot;"/>
    <numFmt numFmtId="171" formatCode="#,##0.0"/>
    <numFmt numFmtId="172" formatCode="0.0000%"/>
    <numFmt numFmtId="173" formatCode="#,##0.0;\(#,##0.0\);\-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22222F"/>
      <name val="Arial"/>
      <family val="2"/>
    </font>
    <font>
      <b/>
      <sz val="11"/>
      <name val="Calibri"/>
      <family val="2"/>
      <scheme val="minor"/>
    </font>
    <font>
      <b/>
      <sz val="11"/>
      <color rgb="FF22222F"/>
      <name val="Arial"/>
      <family val="2"/>
    </font>
    <font>
      <b/>
      <sz val="11"/>
      <color rgb="FF665EFD"/>
      <name val="Arial"/>
      <family val="2"/>
    </font>
    <font>
      <sz val="11"/>
      <color theme="7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3333FF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9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22222F"/>
      <name val="Arial"/>
      <family val="2"/>
    </font>
    <font>
      <sz val="11"/>
      <color theme="0"/>
      <name val="Arial"/>
      <family val="2"/>
    </font>
    <font>
      <i/>
      <sz val="11"/>
      <color rgb="FF7030A0"/>
      <name val="Calibri"/>
      <family val="2"/>
      <scheme val="minor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medium">
        <color rgb="FFDBE4F0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E4E79"/>
      </left>
      <right style="thin">
        <color rgb="FF1E4E79"/>
      </right>
      <top style="thin">
        <color rgb="FF1E4E79"/>
      </top>
      <bottom style="thin">
        <color rgb="FF1E4E79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89">
    <xf numFmtId="0" fontId="0" fillId="0" borderId="0" xfId="0"/>
    <xf numFmtId="164" fontId="1" fillId="0" borderId="0" xfId="1" applyFont="1" applyBorder="1"/>
    <xf numFmtId="0" fontId="1" fillId="0" borderId="0" xfId="0" applyFont="1"/>
    <xf numFmtId="0" fontId="6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9" fontId="3" fillId="0" borderId="0" xfId="1" applyNumberFormat="1" applyFont="1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0" fontId="7" fillId="0" borderId="0" xfId="0" applyFont="1"/>
    <xf numFmtId="43" fontId="0" fillId="0" borderId="0" xfId="1" applyNumberFormat="1" applyFont="1" applyBorder="1"/>
    <xf numFmtId="164" fontId="0" fillId="0" borderId="0" xfId="1" applyFont="1" applyFill="1" applyBorder="1"/>
    <xf numFmtId="164" fontId="0" fillId="0" borderId="0" xfId="1" applyFont="1" applyFill="1" applyBorder="1" applyAlignment="1">
      <alignment horizontal="center"/>
    </xf>
    <xf numFmtId="164" fontId="3" fillId="0" borderId="0" xfId="1" applyFont="1" applyFill="1" applyBorder="1"/>
    <xf numFmtId="167" fontId="0" fillId="0" borderId="0" xfId="0" applyNumberFormat="1"/>
    <xf numFmtId="0" fontId="0" fillId="6" borderId="0" xfId="0" applyFill="1"/>
    <xf numFmtId="17" fontId="9" fillId="6" borderId="1" xfId="0" applyNumberFormat="1" applyFont="1" applyFill="1" applyBorder="1" applyAlignment="1">
      <alignment horizontal="right" vertical="center" wrapText="1"/>
    </xf>
    <xf numFmtId="0" fontId="10" fillId="7" borderId="2" xfId="0" applyFont="1" applyFill="1" applyBorder="1" applyAlignment="1">
      <alignment horizontal="left" vertical="center" indent="2"/>
    </xf>
    <xf numFmtId="3" fontId="10" fillId="7" borderId="2" xfId="0" applyNumberFormat="1" applyFont="1" applyFill="1" applyBorder="1" applyAlignment="1">
      <alignment horizontal="right" vertical="center" wrapText="1"/>
    </xf>
    <xf numFmtId="0" fontId="10" fillId="7" borderId="2" xfId="0" applyFont="1" applyFill="1" applyBorder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right" vertical="center" wrapText="1"/>
    </xf>
    <xf numFmtId="3" fontId="12" fillId="7" borderId="0" xfId="0" applyNumberFormat="1" applyFont="1" applyFill="1" applyAlignment="1">
      <alignment horizontal="right" vertical="center" wrapText="1"/>
    </xf>
    <xf numFmtId="0" fontId="10" fillId="7" borderId="2" xfId="0" applyFont="1" applyFill="1" applyBorder="1" applyAlignment="1">
      <alignment horizontal="right" vertical="center" wrapText="1"/>
    </xf>
    <xf numFmtId="0" fontId="10" fillId="6" borderId="2" xfId="0" applyFont="1" applyFill="1" applyBorder="1" applyAlignment="1">
      <alignment horizontal="left" vertical="center" indent="2"/>
    </xf>
    <xf numFmtId="3" fontId="10" fillId="6" borderId="2" xfId="0" applyNumberFormat="1" applyFont="1" applyFill="1" applyBorder="1" applyAlignment="1">
      <alignment horizontal="right" vertical="center" wrapText="1"/>
    </xf>
    <xf numFmtId="0" fontId="12" fillId="6" borderId="0" xfId="0" applyFont="1" applyFill="1" applyAlignment="1">
      <alignment horizontal="left" vertical="center"/>
    </xf>
    <xf numFmtId="3" fontId="12" fillId="6" borderId="0" xfId="0" applyNumberFormat="1" applyFont="1" applyFill="1" applyAlignment="1">
      <alignment horizontal="right" vertical="center" wrapText="1"/>
    </xf>
    <xf numFmtId="0" fontId="12" fillId="6" borderId="0" xfId="0" applyFont="1" applyFill="1" applyAlignment="1">
      <alignment horizontal="right" vertical="center" wrapText="1"/>
    </xf>
    <xf numFmtId="0" fontId="10" fillId="6" borderId="2" xfId="0" applyFont="1" applyFill="1" applyBorder="1" applyAlignment="1">
      <alignment horizontal="right" vertical="center" wrapText="1"/>
    </xf>
    <xf numFmtId="3" fontId="0" fillId="0" borderId="0" xfId="0" applyNumberFormat="1"/>
    <xf numFmtId="0" fontId="1" fillId="0" borderId="3" xfId="0" applyFont="1" applyBorder="1"/>
    <xf numFmtId="0" fontId="14" fillId="7" borderId="0" xfId="0" applyFont="1" applyFill="1" applyAlignment="1">
      <alignment horizontal="left" vertical="center"/>
    </xf>
    <xf numFmtId="10" fontId="0" fillId="0" borderId="0" xfId="6" applyNumberFormat="1" applyFont="1"/>
    <xf numFmtId="0" fontId="0" fillId="0" borderId="4" xfId="0" applyBorder="1"/>
    <xf numFmtId="10" fontId="0" fillId="0" borderId="4" xfId="6" applyNumberFormat="1" applyFont="1" applyBorder="1"/>
    <xf numFmtId="10" fontId="0" fillId="0" borderId="0" xfId="6" applyNumberFormat="1" applyFont="1" applyBorder="1"/>
    <xf numFmtId="0" fontId="0" fillId="0" borderId="5" xfId="0" applyBorder="1"/>
    <xf numFmtId="10" fontId="0" fillId="0" borderId="5" xfId="6" applyNumberFormat="1" applyFont="1" applyBorder="1"/>
    <xf numFmtId="10" fontId="0" fillId="0" borderId="4" xfId="0" applyNumberFormat="1" applyBorder="1"/>
    <xf numFmtId="10" fontId="0" fillId="0" borderId="5" xfId="0" applyNumberFormat="1" applyBorder="1"/>
    <xf numFmtId="169" fontId="0" fillId="0" borderId="5" xfId="0" applyNumberFormat="1" applyBorder="1"/>
    <xf numFmtId="169" fontId="0" fillId="0" borderId="4" xfId="0" applyNumberFormat="1" applyBorder="1"/>
    <xf numFmtId="169" fontId="0" fillId="0" borderId="0" xfId="0" applyNumberFormat="1"/>
    <xf numFmtId="170" fontId="0" fillId="0" borderId="4" xfId="0" applyNumberFormat="1" applyBorder="1"/>
    <xf numFmtId="170" fontId="0" fillId="0" borderId="0" xfId="0" applyNumberFormat="1"/>
    <xf numFmtId="170" fontId="0" fillId="0" borderId="5" xfId="0" applyNumberFormat="1" applyBorder="1"/>
    <xf numFmtId="0" fontId="0" fillId="9" borderId="0" xfId="0" applyFill="1"/>
    <xf numFmtId="0" fontId="1" fillId="9" borderId="0" xfId="0" applyFont="1" applyFill="1"/>
    <xf numFmtId="0" fontId="18" fillId="0" borderId="8" xfId="0" applyFont="1" applyBorder="1" applyAlignment="1">
      <alignment wrapText="1"/>
    </xf>
    <xf numFmtId="0" fontId="18" fillId="0" borderId="8" xfId="0" applyFont="1" applyBorder="1" applyAlignment="1">
      <alignment horizontal="right" wrapText="1"/>
    </xf>
    <xf numFmtId="10" fontId="18" fillId="0" borderId="8" xfId="0" applyNumberFormat="1" applyFont="1" applyBorder="1" applyAlignment="1">
      <alignment horizontal="right" vertical="top" wrapText="1"/>
    </xf>
    <xf numFmtId="2" fontId="18" fillId="0" borderId="8" xfId="0" applyNumberFormat="1" applyFont="1" applyBorder="1" applyAlignment="1">
      <alignment horizontal="right" vertical="top" wrapText="1"/>
    </xf>
    <xf numFmtId="0" fontId="1" fillId="0" borderId="5" xfId="0" applyFont="1" applyBorder="1"/>
    <xf numFmtId="2" fontId="0" fillId="0" borderId="4" xfId="0" applyNumberFormat="1" applyBorder="1"/>
    <xf numFmtId="172" fontId="0" fillId="0" borderId="4" xfId="0" applyNumberFormat="1" applyBorder="1"/>
    <xf numFmtId="2" fontId="0" fillId="0" borderId="0" xfId="0" applyNumberFormat="1"/>
    <xf numFmtId="10" fontId="19" fillId="0" borderId="0" xfId="0" applyNumberFormat="1" applyFont="1"/>
    <xf numFmtId="0" fontId="19" fillId="0" borderId="0" xfId="0" applyFont="1"/>
    <xf numFmtId="0" fontId="20" fillId="0" borderId="0" xfId="0" applyFont="1"/>
    <xf numFmtId="0" fontId="0" fillId="0" borderId="0" xfId="0" applyAlignment="1">
      <alignment wrapText="1"/>
    </xf>
    <xf numFmtId="10" fontId="0" fillId="0" borderId="0" xfId="0" applyNumberFormat="1" applyAlignment="1">
      <alignment horizontal="right" wrapText="1"/>
    </xf>
    <xf numFmtId="0" fontId="5" fillId="0" borderId="0" xfId="0" applyFont="1"/>
    <xf numFmtId="0" fontId="0" fillId="0" borderId="11" xfId="0" applyBorder="1"/>
    <xf numFmtId="0" fontId="21" fillId="0" borderId="12" xfId="0" applyFont="1" applyBorder="1" applyAlignment="1">
      <alignment horizontal="center"/>
    </xf>
    <xf numFmtId="0" fontId="21" fillId="0" borderId="12" xfId="0" applyFont="1" applyBorder="1" applyAlignment="1">
      <alignment horizontal="centerContinuous"/>
    </xf>
    <xf numFmtId="0" fontId="1" fillId="0" borderId="0" xfId="0" applyFont="1" applyAlignment="1">
      <alignment horizontal="right" wrapText="1"/>
    </xf>
    <xf numFmtId="2" fontId="19" fillId="0" borderId="0" xfId="0" applyNumberFormat="1" applyFont="1"/>
    <xf numFmtId="10" fontId="0" fillId="0" borderId="0" xfId="0" applyNumberFormat="1" applyAlignment="1">
      <alignment horizontal="right"/>
    </xf>
    <xf numFmtId="0" fontId="10" fillId="7" borderId="0" xfId="0" applyFont="1" applyFill="1" applyAlignment="1">
      <alignment horizontal="left" vertical="center" indent="2"/>
    </xf>
    <xf numFmtId="0" fontId="10" fillId="7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3" fontId="22" fillId="7" borderId="0" xfId="0" applyNumberFormat="1" applyFont="1" applyFill="1" applyAlignment="1">
      <alignment horizontal="right" vertical="center" wrapText="1"/>
    </xf>
    <xf numFmtId="3" fontId="22" fillId="7" borderId="7" xfId="0" applyNumberFormat="1" applyFont="1" applyFill="1" applyBorder="1" applyAlignment="1">
      <alignment horizontal="right" vertical="center" wrapText="1"/>
    </xf>
    <xf numFmtId="17" fontId="23" fillId="0" borderId="7" xfId="0" applyNumberFormat="1" applyFont="1" applyBorder="1" applyAlignment="1">
      <alignment horizontal="right" vertical="center" wrapText="1"/>
    </xf>
    <xf numFmtId="17" fontId="23" fillId="0" borderId="0" xfId="0" applyNumberFormat="1" applyFont="1" applyAlignment="1">
      <alignment horizontal="right" vertical="center" wrapText="1"/>
    </xf>
    <xf numFmtId="0" fontId="14" fillId="6" borderId="0" xfId="0" applyFont="1" applyFill="1" applyAlignment="1">
      <alignment horizontal="left" vertical="center" indent="2"/>
    </xf>
    <xf numFmtId="0" fontId="22" fillId="7" borderId="0" xfId="0" applyFont="1" applyFill="1" applyAlignment="1">
      <alignment horizontal="left" vertical="center" indent="2"/>
    </xf>
    <xf numFmtId="0" fontId="22" fillId="7" borderId="3" xfId="0" applyFont="1" applyFill="1" applyBorder="1" applyAlignment="1">
      <alignment horizontal="left" vertical="center" indent="2"/>
    </xf>
    <xf numFmtId="3" fontId="22" fillId="7" borderId="6" xfId="0" applyNumberFormat="1" applyFont="1" applyFill="1" applyBorder="1" applyAlignment="1">
      <alignment horizontal="right" vertical="center" wrapText="1"/>
    </xf>
    <xf numFmtId="3" fontId="22" fillId="7" borderId="3" xfId="0" applyNumberFormat="1" applyFont="1" applyFill="1" applyBorder="1" applyAlignment="1">
      <alignment horizontal="right" vertical="center" wrapText="1"/>
    </xf>
    <xf numFmtId="0" fontId="14" fillId="7" borderId="5" xfId="0" applyFont="1" applyFill="1" applyBorder="1" applyAlignment="1">
      <alignment horizontal="left" vertical="center" indent="2"/>
    </xf>
    <xf numFmtId="0" fontId="14" fillId="7" borderId="3" xfId="0" applyFont="1" applyFill="1" applyBorder="1" applyAlignment="1">
      <alignment horizontal="left" vertical="center" indent="2"/>
    </xf>
    <xf numFmtId="0" fontId="22" fillId="6" borderId="14" xfId="0" applyFont="1" applyFill="1" applyBorder="1" applyAlignment="1">
      <alignment horizontal="left" vertical="center" indent="2"/>
    </xf>
    <xf numFmtId="0" fontId="22" fillId="6" borderId="14" xfId="0" applyFont="1" applyFill="1" applyBorder="1" applyAlignment="1">
      <alignment horizontal="left" vertical="center"/>
    </xf>
    <xf numFmtId="0" fontId="22" fillId="7" borderId="14" xfId="0" applyFont="1" applyFill="1" applyBorder="1" applyAlignment="1">
      <alignment horizontal="left" vertical="center" indent="2"/>
    </xf>
    <xf numFmtId="0" fontId="22" fillId="7" borderId="14" xfId="0" applyFont="1" applyFill="1" applyBorder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173" fontId="10" fillId="7" borderId="6" xfId="0" applyNumberFormat="1" applyFont="1" applyFill="1" applyBorder="1" applyAlignment="1">
      <alignment horizontal="right" vertical="center" wrapText="1"/>
    </xf>
    <xf numFmtId="173" fontId="10" fillId="7" borderId="3" xfId="0" applyNumberFormat="1" applyFont="1" applyFill="1" applyBorder="1" applyAlignment="1">
      <alignment horizontal="right" vertical="center" wrapText="1"/>
    </xf>
    <xf numFmtId="173" fontId="22" fillId="7" borderId="6" xfId="0" applyNumberFormat="1" applyFont="1" applyFill="1" applyBorder="1" applyAlignment="1">
      <alignment horizontal="right" vertical="center" wrapText="1"/>
    </xf>
    <xf numFmtId="173" fontId="22" fillId="7" borderId="3" xfId="0" applyNumberFormat="1" applyFont="1" applyFill="1" applyBorder="1" applyAlignment="1">
      <alignment horizontal="right" vertical="center" wrapText="1"/>
    </xf>
    <xf numFmtId="173" fontId="22" fillId="6" borderId="6" xfId="0" applyNumberFormat="1" applyFont="1" applyFill="1" applyBorder="1" applyAlignment="1">
      <alignment horizontal="right" vertical="center" wrapText="1"/>
    </xf>
    <xf numFmtId="173" fontId="22" fillId="6" borderId="3" xfId="0" applyNumberFormat="1" applyFont="1" applyFill="1" applyBorder="1" applyAlignment="1">
      <alignment horizontal="right" vertical="center" wrapText="1"/>
    </xf>
    <xf numFmtId="173" fontId="10" fillId="6" borderId="6" xfId="0" applyNumberFormat="1" applyFont="1" applyFill="1" applyBorder="1" applyAlignment="1">
      <alignment horizontal="right" vertical="center" wrapText="1"/>
    </xf>
    <xf numFmtId="173" fontId="10" fillId="6" borderId="3" xfId="0" applyNumberFormat="1" applyFont="1" applyFill="1" applyBorder="1" applyAlignment="1">
      <alignment horizontal="right" vertical="center" wrapText="1"/>
    </xf>
    <xf numFmtId="173" fontId="22" fillId="6" borderId="13" xfId="0" applyNumberFormat="1" applyFont="1" applyFill="1" applyBorder="1" applyAlignment="1">
      <alignment horizontal="right" vertical="center" wrapText="1"/>
    </xf>
    <xf numFmtId="173" fontId="22" fillId="6" borderId="14" xfId="0" applyNumberFormat="1" applyFont="1" applyFill="1" applyBorder="1" applyAlignment="1">
      <alignment horizontal="right" vertical="center" wrapText="1"/>
    </xf>
    <xf numFmtId="173" fontId="10" fillId="6" borderId="7" xfId="0" applyNumberFormat="1" applyFont="1" applyFill="1" applyBorder="1" applyAlignment="1">
      <alignment horizontal="right" vertical="center" wrapText="1"/>
    </xf>
    <xf numFmtId="173" fontId="10" fillId="6" borderId="0" xfId="0" applyNumberFormat="1" applyFont="1" applyFill="1" applyAlignment="1">
      <alignment horizontal="right" vertical="center" wrapText="1"/>
    </xf>
    <xf numFmtId="173" fontId="10" fillId="7" borderId="7" xfId="0" applyNumberFormat="1" applyFont="1" applyFill="1" applyBorder="1" applyAlignment="1">
      <alignment horizontal="right" vertical="center" wrapText="1"/>
    </xf>
    <xf numFmtId="173" fontId="10" fillId="7" borderId="0" xfId="0" applyNumberFormat="1" applyFont="1" applyFill="1" applyAlignment="1">
      <alignment horizontal="right" vertical="center" wrapText="1"/>
    </xf>
    <xf numFmtId="173" fontId="22" fillId="7" borderId="5" xfId="0" applyNumberFormat="1" applyFont="1" applyFill="1" applyBorder="1" applyAlignment="1">
      <alignment horizontal="right" vertical="center" wrapText="1"/>
    </xf>
    <xf numFmtId="173" fontId="22" fillId="7" borderId="14" xfId="0" applyNumberFormat="1" applyFont="1" applyFill="1" applyBorder="1" applyAlignment="1">
      <alignment horizontal="right" vertical="center" wrapText="1"/>
    </xf>
    <xf numFmtId="173" fontId="22" fillId="7" borderId="13" xfId="0" applyNumberFormat="1" applyFont="1" applyFill="1" applyBorder="1" applyAlignment="1">
      <alignment horizontal="right" vertical="center" wrapText="1"/>
    </xf>
    <xf numFmtId="0" fontId="0" fillId="0" borderId="3" xfId="0" applyBorder="1"/>
    <xf numFmtId="0" fontId="1" fillId="0" borderId="15" xfId="0" applyFont="1" applyBorder="1"/>
    <xf numFmtId="0" fontId="1" fillId="0" borderId="16" xfId="0" applyFont="1" applyBorder="1"/>
    <xf numFmtId="9" fontId="0" fillId="0" borderId="0" xfId="6" applyFont="1"/>
    <xf numFmtId="0" fontId="0" fillId="0" borderId="15" xfId="0" applyBorder="1"/>
    <xf numFmtId="9" fontId="1" fillId="0" borderId="15" xfId="6" applyFont="1" applyBorder="1"/>
    <xf numFmtId="173" fontId="0" fillId="0" borderId="3" xfId="0" applyNumberFormat="1" applyBorder="1"/>
    <xf numFmtId="173" fontId="1" fillId="0" borderId="3" xfId="0" applyNumberFormat="1" applyFont="1" applyBorder="1"/>
    <xf numFmtId="173" fontId="0" fillId="0" borderId="0" xfId="0" applyNumberFormat="1"/>
    <xf numFmtId="173" fontId="0" fillId="0" borderId="5" xfId="0" applyNumberFormat="1" applyBorder="1"/>
    <xf numFmtId="173" fontId="0" fillId="0" borderId="4" xfId="0" applyNumberFormat="1" applyBorder="1"/>
    <xf numFmtId="173" fontId="1" fillId="0" borderId="16" xfId="0" applyNumberFormat="1" applyFont="1" applyBorder="1"/>
    <xf numFmtId="1" fontId="0" fillId="0" borderId="3" xfId="0" applyNumberFormat="1" applyBorder="1"/>
    <xf numFmtId="10" fontId="24" fillId="0" borderId="3" xfId="0" applyNumberFormat="1" applyFont="1" applyBorder="1"/>
    <xf numFmtId="9" fontId="0" fillId="0" borderId="15" xfId="6" applyFont="1" applyBorder="1"/>
    <xf numFmtId="9" fontId="0" fillId="0" borderId="3" xfId="0" applyNumberFormat="1" applyBorder="1"/>
    <xf numFmtId="9" fontId="0" fillId="0" borderId="15" xfId="0" applyNumberFormat="1" applyBorder="1"/>
    <xf numFmtId="10" fontId="0" fillId="0" borderId="15" xfId="0" applyNumberFormat="1" applyBorder="1"/>
    <xf numFmtId="9" fontId="0" fillId="9" borderId="0" xfId="0" applyNumberFormat="1" applyFill="1"/>
    <xf numFmtId="3" fontId="0" fillId="0" borderId="3" xfId="0" applyNumberFormat="1" applyBorder="1"/>
    <xf numFmtId="10" fontId="0" fillId="0" borderId="3" xfId="0" applyNumberFormat="1" applyBorder="1"/>
    <xf numFmtId="2" fontId="0" fillId="0" borderId="3" xfId="0" applyNumberFormat="1" applyBorder="1"/>
    <xf numFmtId="2" fontId="0" fillId="0" borderId="15" xfId="0" applyNumberFormat="1" applyBorder="1"/>
    <xf numFmtId="0" fontId="0" fillId="0" borderId="16" xfId="0" applyBorder="1"/>
    <xf numFmtId="172" fontId="0" fillId="0" borderId="16" xfId="0" applyNumberFormat="1" applyBorder="1"/>
    <xf numFmtId="10" fontId="0" fillId="0" borderId="16" xfId="0" applyNumberFormat="1" applyBorder="1"/>
    <xf numFmtId="0" fontId="8" fillId="0" borderId="0" xfId="0" applyFont="1"/>
    <xf numFmtId="10" fontId="8" fillId="0" borderId="0" xfId="0" applyNumberFormat="1" applyFont="1"/>
    <xf numFmtId="168" fontId="0" fillId="0" borderId="0" xfId="0" applyNumberFormat="1"/>
    <xf numFmtId="167" fontId="1" fillId="0" borderId="0" xfId="0" applyNumberFormat="1" applyFont="1"/>
    <xf numFmtId="0" fontId="13" fillId="0" borderId="0" xfId="0" applyFont="1"/>
    <xf numFmtId="0" fontId="14" fillId="7" borderId="0" xfId="0" applyFont="1" applyFill="1" applyAlignment="1">
      <alignment vertical="top"/>
    </xf>
    <xf numFmtId="0" fontId="14" fillId="7" borderId="0" xfId="0" applyFont="1" applyFill="1" applyAlignment="1">
      <alignment vertical="center"/>
    </xf>
    <xf numFmtId="0" fontId="14" fillId="6" borderId="0" xfId="0" applyFont="1" applyFill="1" applyAlignment="1">
      <alignment vertical="center"/>
    </xf>
    <xf numFmtId="0" fontId="0" fillId="0" borderId="17" xfId="0" applyBorder="1"/>
    <xf numFmtId="10" fontId="0" fillId="0" borderId="17" xfId="0" applyNumberFormat="1" applyBorder="1"/>
    <xf numFmtId="0" fontId="0" fillId="9" borderId="17" xfId="0" applyFill="1" applyBorder="1"/>
    <xf numFmtId="17" fontId="0" fillId="9" borderId="17" xfId="0" applyNumberFormat="1" applyFill="1" applyBorder="1"/>
    <xf numFmtId="165" fontId="0" fillId="9" borderId="17" xfId="0" applyNumberFormat="1" applyFill="1" applyBorder="1"/>
    <xf numFmtId="0" fontId="7" fillId="9" borderId="0" xfId="0" applyFont="1" applyFill="1"/>
    <xf numFmtId="171" fontId="16" fillId="0" borderId="17" xfId="0" applyNumberFormat="1" applyFont="1" applyBorder="1"/>
    <xf numFmtId="10" fontId="0" fillId="0" borderId="17" xfId="6" applyNumberFormat="1" applyFont="1" applyBorder="1"/>
    <xf numFmtId="0" fontId="7" fillId="9" borderId="0" xfId="0" applyFont="1" applyFill="1" applyAlignment="1">
      <alignment horizontal="center"/>
    </xf>
    <xf numFmtId="0" fontId="1" fillId="9" borderId="0" xfId="0" applyFont="1" applyFill="1" applyAlignment="1">
      <alignment horizontal="right"/>
    </xf>
    <xf numFmtId="0" fontId="1" fillId="9" borderId="0" xfId="0" applyFont="1" applyFill="1" applyAlignment="1">
      <alignment horizontal="right" wrapText="1"/>
    </xf>
    <xf numFmtId="14" fontId="0" fillId="0" borderId="18" xfId="0" applyNumberFormat="1" applyBorder="1" applyAlignment="1">
      <alignment wrapText="1"/>
    </xf>
    <xf numFmtId="4" fontId="0" fillId="0" borderId="18" xfId="0" applyNumberFormat="1" applyBorder="1" applyAlignment="1">
      <alignment horizontal="right" wrapText="1"/>
    </xf>
    <xf numFmtId="0" fontId="0" fillId="0" borderId="18" xfId="0" applyBorder="1" applyAlignment="1">
      <alignment wrapText="1"/>
    </xf>
    <xf numFmtId="10" fontId="0" fillId="0" borderId="18" xfId="0" applyNumberFormat="1" applyBorder="1" applyAlignment="1">
      <alignment horizontal="right" wrapText="1"/>
    </xf>
    <xf numFmtId="0" fontId="13" fillId="9" borderId="0" xfId="0" applyFont="1" applyFill="1" applyAlignment="1">
      <alignment horizontal="right" wrapText="1"/>
    </xf>
    <xf numFmtId="166" fontId="7" fillId="9" borderId="0" xfId="0" applyNumberFormat="1" applyFont="1" applyFill="1"/>
    <xf numFmtId="0" fontId="7" fillId="9" borderId="0" xfId="0" applyFont="1" applyFill="1" applyAlignment="1">
      <alignment horizontal="right"/>
    </xf>
    <xf numFmtId="0" fontId="7" fillId="9" borderId="0" xfId="0" applyFont="1" applyFill="1" applyAlignment="1">
      <alignment horizontal="left"/>
    </xf>
    <xf numFmtId="0" fontId="7" fillId="10" borderId="0" xfId="0" applyFont="1" applyFill="1"/>
    <xf numFmtId="0" fontId="0" fillId="0" borderId="17" xfId="0" applyBorder="1" applyAlignment="1">
      <alignment horizontal="left"/>
    </xf>
    <xf numFmtId="0" fontId="0" fillId="0" borderId="17" xfId="0" applyBorder="1" applyAlignment="1">
      <alignment horizontal="right"/>
    </xf>
    <xf numFmtId="17" fontId="25" fillId="9" borderId="7" xfId="0" applyNumberFormat="1" applyFont="1" applyFill="1" applyBorder="1" applyAlignment="1">
      <alignment horizontal="right" vertical="center" wrapText="1"/>
    </xf>
    <xf numFmtId="17" fontId="25" fillId="9" borderId="1" xfId="0" applyNumberFormat="1" applyFont="1" applyFill="1" applyBorder="1" applyAlignment="1">
      <alignment horizontal="right" vertical="center" wrapText="1"/>
    </xf>
    <xf numFmtId="0" fontId="7" fillId="9" borderId="0" xfId="0" applyFont="1" applyFill="1" applyAlignment="1">
      <alignment horizontal="center"/>
    </xf>
    <xf numFmtId="0" fontId="7" fillId="9" borderId="0" xfId="0" applyFont="1" applyFill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  <xf numFmtId="0" fontId="5" fillId="8" borderId="0" xfId="0" applyFont="1" applyFill="1" applyAlignment="1">
      <alignment horizontal="center"/>
    </xf>
    <xf numFmtId="15" fontId="5" fillId="8" borderId="0" xfId="0" applyNumberFormat="1" applyFont="1" applyFill="1" applyAlignment="1">
      <alignment horizontal="center"/>
    </xf>
    <xf numFmtId="0" fontId="18" fillId="0" borderId="9" xfId="0" applyFont="1" applyBorder="1" applyAlignment="1">
      <alignment horizontal="left" wrapText="1"/>
    </xf>
    <xf numFmtId="0" fontId="18" fillId="0" borderId="0" xfId="0" applyFont="1" applyAlignment="1">
      <alignment horizontal="left" wrapText="1"/>
    </xf>
    <xf numFmtId="0" fontId="18" fillId="0" borderId="10" xfId="0" applyFont="1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0" xfId="0"/>
    <xf numFmtId="0" fontId="1" fillId="9" borderId="0" xfId="0" applyFont="1" applyFill="1"/>
    <xf numFmtId="0" fontId="13" fillId="9" borderId="0" xfId="0" applyFont="1" applyFill="1" applyAlignment="1">
      <alignment horizontal="center" wrapText="1"/>
    </xf>
    <xf numFmtId="0" fontId="13" fillId="9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95" zoomScaleNormal="120" zoomScaleSheetLayoutView="100" zoomScalePageLayoutView="120" workbookViewId="0">
      <pane xSplit="1" ySplit="4" topLeftCell="B5" activePane="bottomRight" state="frozen"/>
      <selection activeCell="K13" sqref="K13"/>
      <selection pane="topRight" activeCell="K13" sqref="K13"/>
      <selection pane="bottomLeft" activeCell="K13" sqref="K13"/>
      <selection pane="bottomRight" activeCell="K13" sqref="K13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TATA MOTORS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273045.59999999998</v>
      </c>
      <c r="C4" s="1">
        <f>'Data Sheet'!C17</f>
        <v>269692.51</v>
      </c>
      <c r="D4" s="1">
        <f>'Data Sheet'!D17</f>
        <v>291550.48</v>
      </c>
      <c r="E4" s="1">
        <f>'Data Sheet'!E17</f>
        <v>301938.40000000002</v>
      </c>
      <c r="F4" s="1">
        <f>'Data Sheet'!F17</f>
        <v>261067.97</v>
      </c>
      <c r="G4" s="1">
        <f>'Data Sheet'!G17</f>
        <v>249794.75</v>
      </c>
      <c r="H4" s="1">
        <f>'Data Sheet'!H17</f>
        <v>278453.62</v>
      </c>
      <c r="I4" s="1">
        <f>'Data Sheet'!I17</f>
        <v>345966.97</v>
      </c>
      <c r="J4" s="1">
        <f>'Data Sheet'!J17</f>
        <v>434016</v>
      </c>
      <c r="K4" s="1">
        <f>'Data Sheet'!K17</f>
        <v>439695</v>
      </c>
      <c r="L4" s="1">
        <f>SUM(Quarters!H4:K4)</f>
        <v>441609</v>
      </c>
      <c r="M4" s="1">
        <f>$K4+M23*K4</f>
        <v>512017.03850373905</v>
      </c>
      <c r="N4" s="1">
        <f>$K4+N23*L4</f>
        <v>445473.35266672197</v>
      </c>
    </row>
    <row r="5" spans="1:14" x14ac:dyDescent="0.3">
      <c r="A5" t="s">
        <v>7</v>
      </c>
      <c r="B5" s="6">
        <f>SUM('Data Sheet'!B18,'Data Sheet'!B20:B24, -1*'Data Sheet'!B19)</f>
        <v>234650.35</v>
      </c>
      <c r="C5" s="6">
        <f>SUM('Data Sheet'!C18,'Data Sheet'!C20:C24, -1*'Data Sheet'!C19)</f>
        <v>240103.81999999998</v>
      </c>
      <c r="D5" s="6">
        <f>SUM('Data Sheet'!D18,'Data Sheet'!D20:D24, -1*'Data Sheet'!D19)</f>
        <v>260092.80000000002</v>
      </c>
      <c r="E5" s="6">
        <f>SUM('Data Sheet'!E18,'Data Sheet'!E20:E24, -1*'Data Sheet'!E19)</f>
        <v>277274.07</v>
      </c>
      <c r="F5" s="6">
        <f>SUM('Data Sheet'!F18,'Data Sheet'!F20:F24, -1*'Data Sheet'!F19)</f>
        <v>243080.90000000005</v>
      </c>
      <c r="G5" s="6">
        <f>SUM('Data Sheet'!G18,'Data Sheet'!G20:G24, -1*'Data Sheet'!G19)</f>
        <v>217507.32</v>
      </c>
      <c r="H5" s="6">
        <f>SUM('Data Sheet'!H18,'Data Sheet'!H20:H24, -1*'Data Sheet'!H19)</f>
        <v>253733.52999999997</v>
      </c>
      <c r="I5" s="6">
        <f>SUM('Data Sheet'!I18,'Data Sheet'!I20:I24, -1*'Data Sheet'!I19)</f>
        <v>314151.17000000004</v>
      </c>
      <c r="J5" s="6">
        <f>SUM('Data Sheet'!J18,'Data Sheet'!J20:J24, -1*'Data Sheet'!J19)</f>
        <v>376192</v>
      </c>
      <c r="K5" s="6">
        <f>SUM('Data Sheet'!K18,'Data Sheet'!K20:K24, -1*'Data Sheet'!K19)</f>
        <v>384479</v>
      </c>
      <c r="L5" s="6">
        <f>SUM(Quarters!H5:K5)</f>
        <v>384424</v>
      </c>
      <c r="M5" s="6">
        <f t="shared" ref="M5:N5" si="0">M4-M6</f>
        <v>445714.73409681726</v>
      </c>
      <c r="N5" s="6">
        <f t="shared" si="0"/>
        <v>398338.79456236039</v>
      </c>
    </row>
    <row r="6" spans="1:14" s="2" customFormat="1" x14ac:dyDescent="0.3">
      <c r="A6" s="2" t="s">
        <v>8</v>
      </c>
      <c r="B6" s="1">
        <f>B4-B5</f>
        <v>38395.249999999971</v>
      </c>
      <c r="C6" s="1">
        <f t="shared" ref="C6:K6" si="1">C4-C5</f>
        <v>29588.690000000031</v>
      </c>
      <c r="D6" s="1">
        <f t="shared" si="1"/>
        <v>31457.679999999964</v>
      </c>
      <c r="E6" s="1">
        <f t="shared" si="1"/>
        <v>24664.330000000016</v>
      </c>
      <c r="F6" s="1">
        <f t="shared" si="1"/>
        <v>17987.069999999949</v>
      </c>
      <c r="G6" s="1">
        <f t="shared" si="1"/>
        <v>32287.429999999993</v>
      </c>
      <c r="H6" s="1">
        <f t="shared" si="1"/>
        <v>24720.090000000026</v>
      </c>
      <c r="I6" s="1">
        <f t="shared" si="1"/>
        <v>31815.79999999993</v>
      </c>
      <c r="J6" s="1">
        <f t="shared" si="1"/>
        <v>57824</v>
      </c>
      <c r="K6" s="1">
        <f t="shared" si="1"/>
        <v>55216</v>
      </c>
      <c r="L6" s="1">
        <f>SUM(Quarters!H6:K6)</f>
        <v>57185</v>
      </c>
      <c r="M6" s="1">
        <f>M4*M24</f>
        <v>66302.304406921787</v>
      </c>
      <c r="N6" s="1">
        <f>N4*N24</f>
        <v>47134.558104361568</v>
      </c>
    </row>
    <row r="7" spans="1:14" x14ac:dyDescent="0.3">
      <c r="A7" t="s">
        <v>9</v>
      </c>
      <c r="B7" s="6">
        <f>'Data Sheet'!B25</f>
        <v>-2669.62</v>
      </c>
      <c r="C7" s="6">
        <f>'Data Sheet'!C25</f>
        <v>1869.1</v>
      </c>
      <c r="D7" s="6">
        <f>'Data Sheet'!D25</f>
        <v>5932.73</v>
      </c>
      <c r="E7" s="6">
        <f>'Data Sheet'!E25</f>
        <v>-26686.25</v>
      </c>
      <c r="F7" s="6">
        <f>'Data Sheet'!F25</f>
        <v>101.71</v>
      </c>
      <c r="G7" s="6">
        <f>'Data Sheet'!G25</f>
        <v>-11117.83</v>
      </c>
      <c r="H7" s="6">
        <f>'Data Sheet'!H25</f>
        <v>2424.0500000000002</v>
      </c>
      <c r="I7" s="6">
        <f>'Data Sheet'!I25</f>
        <v>6663.97</v>
      </c>
      <c r="J7" s="6">
        <f>'Data Sheet'!J25</f>
        <v>4792</v>
      </c>
      <c r="K7" s="6">
        <f>'Data Sheet'!K25</f>
        <v>11774</v>
      </c>
      <c r="L7" s="6">
        <f>SUM(Quarters!H7:K7)</f>
        <v>6151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16710.78</v>
      </c>
      <c r="C8" s="6">
        <f>'Data Sheet'!C26</f>
        <v>17904.990000000002</v>
      </c>
      <c r="D8" s="6">
        <f>'Data Sheet'!D26</f>
        <v>21553.59</v>
      </c>
      <c r="E8" s="6">
        <f>'Data Sheet'!E26</f>
        <v>23590.63</v>
      </c>
      <c r="F8" s="6">
        <f>'Data Sheet'!F26</f>
        <v>21425.43</v>
      </c>
      <c r="G8" s="6">
        <f>'Data Sheet'!G26</f>
        <v>23546.71</v>
      </c>
      <c r="H8" s="6">
        <f>'Data Sheet'!H26</f>
        <v>24835.69</v>
      </c>
      <c r="I8" s="6">
        <f>'Data Sheet'!I26</f>
        <v>24860.36</v>
      </c>
      <c r="J8" s="6">
        <f>'Data Sheet'!J26</f>
        <v>27239</v>
      </c>
      <c r="K8" s="6">
        <f>'Data Sheet'!K26</f>
        <v>23256</v>
      </c>
      <c r="L8" s="6">
        <f>SUM(Quarters!H8:K8)</f>
        <v>23273</v>
      </c>
      <c r="M8" s="6">
        <f>+$L8</f>
        <v>23273</v>
      </c>
      <c r="N8" s="6">
        <f>+$L8</f>
        <v>23273</v>
      </c>
    </row>
    <row r="9" spans="1:14" x14ac:dyDescent="0.3">
      <c r="A9" t="s">
        <v>11</v>
      </c>
      <c r="B9" s="6">
        <f>'Data Sheet'!B27</f>
        <v>4889.08</v>
      </c>
      <c r="C9" s="6">
        <f>'Data Sheet'!C27</f>
        <v>4238.01</v>
      </c>
      <c r="D9" s="6">
        <f>'Data Sheet'!D27</f>
        <v>4681.79</v>
      </c>
      <c r="E9" s="6">
        <f>'Data Sheet'!E27</f>
        <v>5758.6</v>
      </c>
      <c r="F9" s="6">
        <f>'Data Sheet'!F27</f>
        <v>7243.33</v>
      </c>
      <c r="G9" s="6">
        <f>'Data Sheet'!G27</f>
        <v>8097.17</v>
      </c>
      <c r="H9" s="6">
        <f>'Data Sheet'!H27</f>
        <v>9311.86</v>
      </c>
      <c r="I9" s="6">
        <f>'Data Sheet'!I27</f>
        <v>10225.48</v>
      </c>
      <c r="J9" s="6">
        <f>'Data Sheet'!J27</f>
        <v>7594</v>
      </c>
      <c r="K9" s="6">
        <f>'Data Sheet'!K27</f>
        <v>5083</v>
      </c>
      <c r="L9" s="6">
        <f>SUM(Quarters!H9:K9)</f>
        <v>6317</v>
      </c>
      <c r="M9" s="6">
        <f>+$L9</f>
        <v>6317</v>
      </c>
      <c r="N9" s="6">
        <f>+$L9</f>
        <v>6317</v>
      </c>
    </row>
    <row r="10" spans="1:14" x14ac:dyDescent="0.3">
      <c r="A10" t="s">
        <v>12</v>
      </c>
      <c r="B10" s="6">
        <f>'Data Sheet'!B28</f>
        <v>14125.77</v>
      </c>
      <c r="C10" s="6">
        <f>'Data Sheet'!C28</f>
        <v>9314.7900000000009</v>
      </c>
      <c r="D10" s="6">
        <f>'Data Sheet'!D28</f>
        <v>11155.03</v>
      </c>
      <c r="E10" s="6">
        <f>'Data Sheet'!E28</f>
        <v>-31371.15</v>
      </c>
      <c r="F10" s="6">
        <f>'Data Sheet'!F28</f>
        <v>-10579.98</v>
      </c>
      <c r="G10" s="6">
        <f>'Data Sheet'!G28</f>
        <v>-10474.280000000001</v>
      </c>
      <c r="H10" s="6">
        <f>'Data Sheet'!H28</f>
        <v>-7003.41</v>
      </c>
      <c r="I10" s="6">
        <f>'Data Sheet'!I28</f>
        <v>3393.93</v>
      </c>
      <c r="J10" s="6">
        <f>'Data Sheet'!J28</f>
        <v>27783</v>
      </c>
      <c r="K10" s="6">
        <f>'Data Sheet'!K28</f>
        <v>38651</v>
      </c>
      <c r="L10" s="6">
        <f>SUM(Quarters!H10:K10)</f>
        <v>33746</v>
      </c>
      <c r="M10" s="6">
        <f>M6+M7-SUM(M8:M9)</f>
        <v>36712.304406921787</v>
      </c>
      <c r="N10" s="6">
        <f>N6+N7-SUM(N8:N9)</f>
        <v>17544.558104361568</v>
      </c>
    </row>
    <row r="11" spans="1:14" x14ac:dyDescent="0.3">
      <c r="A11" t="s">
        <v>13</v>
      </c>
      <c r="B11" s="6">
        <f>'Data Sheet'!B29</f>
        <v>3025.05</v>
      </c>
      <c r="C11" s="6">
        <f>'Data Sheet'!C29</f>
        <v>3251.23</v>
      </c>
      <c r="D11" s="6">
        <f>'Data Sheet'!D29</f>
        <v>4341.93</v>
      </c>
      <c r="E11" s="6">
        <f>'Data Sheet'!E29</f>
        <v>-2437.4499999999998</v>
      </c>
      <c r="F11" s="6">
        <f>'Data Sheet'!F29</f>
        <v>395.25</v>
      </c>
      <c r="G11" s="6">
        <f>'Data Sheet'!G29</f>
        <v>2541.86</v>
      </c>
      <c r="H11" s="6">
        <f>'Data Sheet'!H29</f>
        <v>4231.29</v>
      </c>
      <c r="I11" s="6">
        <f>'Data Sheet'!I29</f>
        <v>704.06</v>
      </c>
      <c r="J11" s="6">
        <f>'Data Sheet'!J29</f>
        <v>-4024</v>
      </c>
      <c r="K11" s="6">
        <f>'Data Sheet'!K29</f>
        <v>10502</v>
      </c>
      <c r="L11" s="6">
        <f>SUM(Quarters!H11:K11)</f>
        <v>10563</v>
      </c>
      <c r="M11" s="7">
        <f>IF($L10&gt;0,$L11/$L10,0)</f>
        <v>0.31301487583713627</v>
      </c>
      <c r="N11" s="7">
        <f>IF($L10&gt;0,$L11/$L10,0)</f>
        <v>0.31301487583713627</v>
      </c>
    </row>
    <row r="12" spans="1:14" s="2" customFormat="1" x14ac:dyDescent="0.3">
      <c r="A12" s="2" t="s">
        <v>14</v>
      </c>
      <c r="B12" s="1">
        <f>'Data Sheet'!B30</f>
        <v>11579.31</v>
      </c>
      <c r="C12" s="1">
        <f>'Data Sheet'!C30</f>
        <v>7454.36</v>
      </c>
      <c r="D12" s="1">
        <f>'Data Sheet'!D30</f>
        <v>8988.91</v>
      </c>
      <c r="E12" s="1">
        <f>'Data Sheet'!E30</f>
        <v>-28826.23</v>
      </c>
      <c r="F12" s="1">
        <f>'Data Sheet'!F30</f>
        <v>-12070.85</v>
      </c>
      <c r="G12" s="1">
        <f>'Data Sheet'!G30</f>
        <v>-13451.39</v>
      </c>
      <c r="H12" s="1">
        <f>'Data Sheet'!H30</f>
        <v>-11441.47</v>
      </c>
      <c r="I12" s="1">
        <f>'Data Sheet'!I30</f>
        <v>2414.29</v>
      </c>
      <c r="J12" s="1">
        <f>'Data Sheet'!J30</f>
        <v>31399</v>
      </c>
      <c r="K12" s="1">
        <f>'Data Sheet'!K30</f>
        <v>27830</v>
      </c>
      <c r="L12" s="1">
        <f>SUM(Quarters!H12:K12)</f>
        <v>22785</v>
      </c>
      <c r="M12" s="1">
        <f>M10-M11*M10</f>
        <v>25220.807001294015</v>
      </c>
      <c r="N12" s="1">
        <f>N10-N11*N10</f>
        <v>12052.85042770741</v>
      </c>
    </row>
    <row r="13" spans="1:14" x14ac:dyDescent="0.3">
      <c r="A13" t="s">
        <v>48</v>
      </c>
      <c r="B13" s="6">
        <f>IF('Data Sheet'!B93&gt;0,B12/'Data Sheet'!B93,0)</f>
        <v>40.105673316708227</v>
      </c>
      <c r="C13" s="6">
        <f>IF('Data Sheet'!C93&gt;0,C12/'Data Sheet'!C93,0)</f>
        <v>25.817753610639695</v>
      </c>
      <c r="D13" s="6">
        <f>IF('Data Sheet'!D93&gt;0,D12/'Data Sheet'!D93,0)</f>
        <v>31.132580611644094</v>
      </c>
      <c r="E13" s="6">
        <f>IF('Data Sheet'!E93&gt;0,E12/'Data Sheet'!E93,0)</f>
        <v>-99.838014754268684</v>
      </c>
      <c r="F13" s="6">
        <f>IF('Data Sheet'!F93&gt;0,F12/'Data Sheet'!F93,0)</f>
        <v>-39.076885723535128</v>
      </c>
      <c r="G13" s="6">
        <f>IF('Data Sheet'!G93&gt;0,G12/'Data Sheet'!G93,0)</f>
        <v>-40.512574164985097</v>
      </c>
      <c r="H13" s="6">
        <f>IF('Data Sheet'!H93&gt;0,H12/'Data Sheet'!H93,0)</f>
        <v>-34.454994428885477</v>
      </c>
      <c r="I13" s="6">
        <f>IF('Data Sheet'!I93&gt;0,I12/'Data Sheet'!I93,0)</f>
        <v>7.2691114924878812</v>
      </c>
      <c r="J13" s="6">
        <f>IF('Data Sheet'!J93&gt;0,J12/'Data Sheet'!J93,0)</f>
        <v>94.470018353040288</v>
      </c>
      <c r="K13" s="23">
        <f>IF('Data Sheet'!K93&gt;0,K12/'Data Sheet'!K93,0)</f>
        <v>75.598294080895343</v>
      </c>
      <c r="L13" s="6">
        <f>IF('Data Sheet'!$B6&gt;0,'Profit &amp; Loss'!L12/'Data Sheet'!$B6,0)</f>
        <v>61.89116764687023</v>
      </c>
      <c r="M13" s="6">
        <f>IF('Data Sheet'!$B6&gt;0,'Profit &amp; Loss'!M12/'Data Sheet'!$B6,0)</f>
        <v>68.507579298066545</v>
      </c>
      <c r="N13" s="6">
        <f>IF('Data Sheet'!$B6&gt;0,'Profit &amp; Loss'!N12/'Data Sheet'!$B6,0)</f>
        <v>32.739301577524287</v>
      </c>
    </row>
    <row r="14" spans="1:14" x14ac:dyDescent="0.3">
      <c r="A14" t="s">
        <v>16</v>
      </c>
      <c r="B14" s="6">
        <f>IF(B15&gt;0,B15/B13,"")</f>
        <v>9.6395339618681959</v>
      </c>
      <c r="C14" s="6">
        <f t="shared" ref="C14:K14" si="2">IF(C15&gt;0,C15/C13,"")</f>
        <v>18.043785180753279</v>
      </c>
      <c r="D14" s="6">
        <f t="shared" si="2"/>
        <v>10.4986478338308</v>
      </c>
      <c r="E14" s="6">
        <f t="shared" si="2"/>
        <v>-1.7453271725092045</v>
      </c>
      <c r="F14" s="6">
        <f t="shared" si="2"/>
        <v>-1.8182103994333454</v>
      </c>
      <c r="G14" s="6">
        <f t="shared" si="2"/>
        <v>-7.4495389695786081</v>
      </c>
      <c r="H14" s="6">
        <f t="shared" si="2"/>
        <v>-12.588886087189845</v>
      </c>
      <c r="I14" s="6">
        <f t="shared" si="2"/>
        <v>57.88878055246056</v>
      </c>
      <c r="J14" s="6">
        <f t="shared" si="2"/>
        <v>10.509154304277205</v>
      </c>
      <c r="K14" s="6">
        <f t="shared" si="2"/>
        <v>8.9214976104922741</v>
      </c>
      <c r="L14" s="6">
        <f t="shared" ref="L14" si="3">IF(L13&gt;0,L15/L13,0)</f>
        <v>10.862616194865042</v>
      </c>
      <c r="M14" s="6">
        <f>M25</f>
        <v>22.045512165523768</v>
      </c>
      <c r="N14" s="6">
        <f>N25</f>
        <v>10.862616194865042</v>
      </c>
    </row>
    <row r="15" spans="1:14" s="2" customFormat="1" x14ac:dyDescent="0.3">
      <c r="A15" s="2" t="s">
        <v>49</v>
      </c>
      <c r="B15" s="1">
        <f>'Data Sheet'!B90</f>
        <v>386.6</v>
      </c>
      <c r="C15" s="1">
        <f>'Data Sheet'!C90</f>
        <v>465.85</v>
      </c>
      <c r="D15" s="1">
        <f>'Data Sheet'!D90</f>
        <v>326.85000000000002</v>
      </c>
      <c r="E15" s="1">
        <f>'Data Sheet'!E90</f>
        <v>174.25</v>
      </c>
      <c r="F15" s="1">
        <f>'Data Sheet'!F90</f>
        <v>71.05</v>
      </c>
      <c r="G15" s="1">
        <f>'Data Sheet'!G90</f>
        <v>301.8</v>
      </c>
      <c r="H15" s="1">
        <f>'Data Sheet'!H90</f>
        <v>433.75</v>
      </c>
      <c r="I15" s="1">
        <f>'Data Sheet'!I90</f>
        <v>420.8</v>
      </c>
      <c r="J15" s="1">
        <f>'Data Sheet'!J90</f>
        <v>992.8</v>
      </c>
      <c r="K15" s="1">
        <f>'Data Sheet'!K90</f>
        <v>674.45</v>
      </c>
      <c r="L15" s="1">
        <f>'Data Sheet'!B8</f>
        <v>672.3</v>
      </c>
      <c r="M15" s="8">
        <f>M13*M14</f>
        <v>1510.2846728461102</v>
      </c>
      <c r="N15" s="9">
        <f>N13*N14</f>
        <v>355.63446752458594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5.8656344808110331E-3</v>
      </c>
      <c r="C18" s="5">
        <f>IF('Data Sheet'!C30&gt;0, 'Data Sheet'!C31/'Data Sheet'!C30, 0)</f>
        <v>0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0</v>
      </c>
      <c r="I18" s="5">
        <f>IF('Data Sheet'!I30&gt;0, 'Data Sheet'!I31/'Data Sheet'!I30, 0)</f>
        <v>0.31728582730326516</v>
      </c>
      <c r="J18" s="5">
        <f>IF('Data Sheet'!J30&gt;0, 'Data Sheet'!J31/'Data Sheet'!J30, 0)</f>
        <v>7.3282588617471889E-2</v>
      </c>
      <c r="K18" s="5">
        <f>IF('Data Sheet'!K30&gt;0, 'Data Sheet'!K31/'Data Sheet'!K30, 0)</f>
        <v>7.9338842975206617E-2</v>
      </c>
    </row>
    <row r="19" spans="1:14" x14ac:dyDescent="0.3">
      <c r="A19" t="s">
        <v>18</v>
      </c>
      <c r="B19" s="5">
        <f t="shared" ref="B19:L19" si="4">IF(B6&gt;0,B6/B4,0)</f>
        <v>0.14061845347443788</v>
      </c>
      <c r="C19" s="5">
        <f t="shared" ref="C19:K19" si="5">IF(C6&gt;0,C6/C4,0)</f>
        <v>0.10971268723777323</v>
      </c>
      <c r="D19" s="5">
        <f t="shared" si="5"/>
        <v>0.10789788444182964</v>
      </c>
      <c r="E19" s="5">
        <f t="shared" si="5"/>
        <v>8.1686628795807403E-2</v>
      </c>
      <c r="F19" s="5">
        <f t="shared" si="5"/>
        <v>6.8898034485042142E-2</v>
      </c>
      <c r="G19" s="5">
        <f t="shared" si="5"/>
        <v>0.12925583904385499</v>
      </c>
      <c r="H19" s="5">
        <f t="shared" si="5"/>
        <v>8.8776328352276501E-2</v>
      </c>
      <c r="I19" s="5">
        <f t="shared" si="5"/>
        <v>9.1961958102531965E-2</v>
      </c>
      <c r="J19" s="5">
        <f t="shared" si="5"/>
        <v>0.13323011133230112</v>
      </c>
      <c r="K19" s="5">
        <f t="shared" si="5"/>
        <v>0.12557795744777631</v>
      </c>
      <c r="L19" s="5">
        <f t="shared" si="4"/>
        <v>0.12949237900495689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56</v>
      </c>
      <c r="I22" s="12" t="s">
        <v>57</v>
      </c>
      <c r="J22" s="12" t="s">
        <v>58</v>
      </c>
      <c r="K22" s="12" t="s">
        <v>59</v>
      </c>
      <c r="L22" s="13" t="s">
        <v>60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5.4364329974180503E-2</v>
      </c>
      <c r="I23" s="5">
        <f>IF(D4=0,"",POWER($K4/D4,1/7)-1)</f>
        <v>6.0452229419457382E-2</v>
      </c>
      <c r="J23" s="5">
        <f>IF(F4=0,"",POWER($K4/F4,1/5)-1)</f>
        <v>0.10988910171869626</v>
      </c>
      <c r="K23" s="5">
        <f>IF(H4=0,"",POWER($K4/H4, 1/3)-1)</f>
        <v>0.164482285456371</v>
      </c>
      <c r="L23" s="5">
        <f>IF(ISERROR(MAX(IF(J4=0,"",(K4-J4)/J4),IF(K4=0,"",(L4-K4)/K4))),"",MAX(IF(J4=0,"",(K4-J4)/J4),IF(K4=0,"",(L4-K4)/K4)))</f>
        <v>1.3084771068347711E-2</v>
      </c>
      <c r="M23" s="16">
        <f>MAX(K23:L23)</f>
        <v>0.164482285456371</v>
      </c>
      <c r="N23" s="16">
        <f>MIN(H23:L23)</f>
        <v>1.3084771068347711E-2</v>
      </c>
    </row>
    <row r="24" spans="1:14" x14ac:dyDescent="0.3">
      <c r="G24" t="s">
        <v>18</v>
      </c>
      <c r="H24" s="5">
        <f>IF(SUM(B4:$K$4)=0,"",SUMPRODUCT(B19:$K$19,B4:$K$4)/SUM(B4:$K$4))</f>
        <v>0.1093583907752373</v>
      </c>
      <c r="I24" s="5">
        <f>IF(SUM(E4:$K$4)=0,"",SUMPRODUCT(E19:$K$19,E4:$K$4)/SUM(E4:$K$4))</f>
        <v>0.10580780606112929</v>
      </c>
      <c r="J24" s="5">
        <f>IF(SUM(G4:$K$4)=0,"",SUMPRODUCT(G19:$K$19,G4:$K$4)/SUM(G4:$K$4))</f>
        <v>0.11548731510047498</v>
      </c>
      <c r="K24" s="5">
        <f>IF(SUM(I4:$K$4)=0, "", SUMPRODUCT(I19:$K$19,I4:$K$4)/SUM(I4:$K$4))</f>
        <v>0.11876561154908778</v>
      </c>
      <c r="L24" s="5">
        <f>L19</f>
        <v>0.12949237900495689</v>
      </c>
      <c r="M24" s="16">
        <f>MAX(K24:L24)</f>
        <v>0.12949237900495689</v>
      </c>
      <c r="N24" s="16">
        <f>MIN(H24:L24)</f>
        <v>0.10580780606112929</v>
      </c>
    </row>
    <row r="25" spans="1:14" x14ac:dyDescent="0.3">
      <c r="G25" t="s">
        <v>23</v>
      </c>
      <c r="H25" s="6">
        <f>IF(ISERROR(AVERAGEIF(B14:$L14,"&gt;0")),"",AVERAGEIF(B14:$L14,"&gt;0"))</f>
        <v>18.052002234078195</v>
      </c>
      <c r="I25" s="6">
        <f>IF(ISERROR(AVERAGEIF(E14:$L14,"&gt;0")),"",AVERAGEIF(E14:$L14,"&gt;0"))</f>
        <v>22.045512165523768</v>
      </c>
      <c r="J25" s="6">
        <f>IF(ISERROR(AVERAGEIF(G14:$L14,"&gt;0")),"",AVERAGEIF(G14:$L14,"&gt;0"))</f>
        <v>22.045512165523768</v>
      </c>
      <c r="K25" s="6">
        <f>IF(ISERROR(AVERAGEIF(I14:$L14,"&gt;0")),"",AVERAGEIF(I14:$L14,"&gt;0"))</f>
        <v>22.045512165523768</v>
      </c>
      <c r="L25" s="6">
        <f>L14</f>
        <v>10.862616194865042</v>
      </c>
      <c r="M25" s="1">
        <f>MAX(K25:L25)</f>
        <v>22.045512165523768</v>
      </c>
      <c r="N25" s="1">
        <f>MIN(H25:L25)</f>
        <v>10.862616194865042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29" workbookViewId="0">
      <pane xSplit="1" ySplit="3" topLeftCell="B4" activePane="bottomRight" state="frozen"/>
      <selection activeCell="K13" sqref="K13"/>
      <selection pane="topRight" activeCell="K13" sqref="K13"/>
      <selection pane="bottomLeft" activeCell="K13" sqref="K13"/>
      <selection pane="bottomRight" activeCell="K13" sqref="K13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TATA MOTORS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44926</v>
      </c>
      <c r="C3" s="12">
        <f>'Data Sheet'!C41</f>
        <v>45016</v>
      </c>
      <c r="D3" s="12">
        <f>'Data Sheet'!D41</f>
        <v>45107</v>
      </c>
      <c r="E3" s="12">
        <f>'Data Sheet'!E41</f>
        <v>45199</v>
      </c>
      <c r="F3" s="12">
        <f>'Data Sheet'!F41</f>
        <v>45291</v>
      </c>
      <c r="G3" s="12">
        <f>'Data Sheet'!G41</f>
        <v>45382</v>
      </c>
      <c r="H3" s="12">
        <f>'Data Sheet'!H41</f>
        <v>45473</v>
      </c>
      <c r="I3" s="12">
        <f>'Data Sheet'!I41</f>
        <v>45565</v>
      </c>
      <c r="J3" s="12">
        <f>'Data Sheet'!J41</f>
        <v>45657</v>
      </c>
      <c r="K3" s="12">
        <f>'Data Sheet'!K41</f>
        <v>45747</v>
      </c>
    </row>
    <row r="4" spans="1:11" s="2" customFormat="1" x14ac:dyDescent="0.3">
      <c r="A4" s="2" t="s">
        <v>6</v>
      </c>
      <c r="B4" s="1">
        <f>'Data Sheet'!B42</f>
        <v>88488.59</v>
      </c>
      <c r="C4" s="1">
        <f>'Data Sheet'!C42</f>
        <v>105932.35</v>
      </c>
      <c r="D4" s="1">
        <f>'Data Sheet'!D42</f>
        <v>102236</v>
      </c>
      <c r="E4" s="1">
        <f>'Data Sheet'!E42</f>
        <v>105129</v>
      </c>
      <c r="F4" s="1">
        <f>'Data Sheet'!F42</f>
        <v>110577</v>
      </c>
      <c r="G4" s="1">
        <f>'Data Sheet'!G42</f>
        <v>119033</v>
      </c>
      <c r="H4" s="1">
        <f>'Data Sheet'!H42</f>
        <v>108048</v>
      </c>
      <c r="I4" s="1">
        <f>'Data Sheet'!I42</f>
        <v>101450</v>
      </c>
      <c r="J4" s="1">
        <f>'Data Sheet'!J42</f>
        <v>112608</v>
      </c>
      <c r="K4" s="1">
        <f>'Data Sheet'!K42</f>
        <v>119503</v>
      </c>
    </row>
    <row r="5" spans="1:11" x14ac:dyDescent="0.3">
      <c r="A5" t="s">
        <v>7</v>
      </c>
      <c r="B5" s="6">
        <f>'Data Sheet'!B43</f>
        <v>77668.350000000006</v>
      </c>
      <c r="C5" s="6">
        <f>'Data Sheet'!C43</f>
        <v>92817.95</v>
      </c>
      <c r="D5" s="6">
        <f>'Data Sheet'!D43</f>
        <v>89019</v>
      </c>
      <c r="E5" s="6">
        <f>'Data Sheet'!E43</f>
        <v>91362</v>
      </c>
      <c r="F5" s="6">
        <f>'Data Sheet'!F43</f>
        <v>95159</v>
      </c>
      <c r="G5" s="6">
        <f>'Data Sheet'!G43</f>
        <v>102348</v>
      </c>
      <c r="H5" s="6">
        <f>'Data Sheet'!H43</f>
        <v>92263</v>
      </c>
      <c r="I5" s="6">
        <f>'Data Sheet'!I43</f>
        <v>89291</v>
      </c>
      <c r="J5" s="6">
        <f>'Data Sheet'!J43</f>
        <v>100185</v>
      </c>
      <c r="K5" s="6">
        <f>'Data Sheet'!K43</f>
        <v>102685</v>
      </c>
    </row>
    <row r="6" spans="1:11" s="2" customFormat="1" x14ac:dyDescent="0.3">
      <c r="A6" s="2" t="s">
        <v>8</v>
      </c>
      <c r="B6" s="1">
        <f>'Data Sheet'!B50</f>
        <v>10820.24</v>
      </c>
      <c r="C6" s="1">
        <f>'Data Sheet'!C50</f>
        <v>13114.4</v>
      </c>
      <c r="D6" s="1">
        <f>'Data Sheet'!D50</f>
        <v>13217</v>
      </c>
      <c r="E6" s="1">
        <f>'Data Sheet'!E50</f>
        <v>13767</v>
      </c>
      <c r="F6" s="1">
        <f>'Data Sheet'!F50</f>
        <v>15418</v>
      </c>
      <c r="G6" s="1">
        <f>'Data Sheet'!G50</f>
        <v>16685</v>
      </c>
      <c r="H6" s="1">
        <f>'Data Sheet'!H50</f>
        <v>15785</v>
      </c>
      <c r="I6" s="1">
        <f>'Data Sheet'!I50</f>
        <v>12159</v>
      </c>
      <c r="J6" s="1">
        <f>'Data Sheet'!J50</f>
        <v>12423</v>
      </c>
      <c r="K6" s="1">
        <f>'Data Sheet'!K50</f>
        <v>16818</v>
      </c>
    </row>
    <row r="7" spans="1:11" x14ac:dyDescent="0.3">
      <c r="A7" t="s">
        <v>9</v>
      </c>
      <c r="B7" s="6">
        <f>'Data Sheet'!B44</f>
        <v>1129.98</v>
      </c>
      <c r="C7" s="6">
        <f>'Data Sheet'!C44</f>
        <v>1452.86</v>
      </c>
      <c r="D7" s="6">
        <f>'Data Sheet'!D44</f>
        <v>895</v>
      </c>
      <c r="E7" s="6">
        <f>'Data Sheet'!E44</f>
        <v>1557</v>
      </c>
      <c r="F7" s="6">
        <f>'Data Sheet'!F44</f>
        <v>1604</v>
      </c>
      <c r="G7" s="6">
        <f>'Data Sheet'!G44</f>
        <v>1412</v>
      </c>
      <c r="H7" s="6">
        <f>'Data Sheet'!H44</f>
        <v>1747</v>
      </c>
      <c r="I7" s="6">
        <f>'Data Sheet'!I44</f>
        <v>1647</v>
      </c>
      <c r="J7" s="6">
        <f>'Data Sheet'!J44</f>
        <v>1700</v>
      </c>
      <c r="K7" s="6">
        <f>'Data Sheet'!K44</f>
        <v>1057</v>
      </c>
    </row>
    <row r="8" spans="1:11" x14ac:dyDescent="0.3">
      <c r="A8" t="s">
        <v>10</v>
      </c>
      <c r="B8" s="6">
        <f>'Data Sheet'!B45</f>
        <v>6071.78</v>
      </c>
      <c r="C8" s="6">
        <f>'Data Sheet'!C45</f>
        <v>7050.2</v>
      </c>
      <c r="D8" s="6">
        <f>'Data Sheet'!D45</f>
        <v>6633</v>
      </c>
      <c r="E8" s="6">
        <f>'Data Sheet'!E45</f>
        <v>6637</v>
      </c>
      <c r="F8" s="6">
        <f>'Data Sheet'!F45</f>
        <v>6850</v>
      </c>
      <c r="G8" s="6">
        <f>'Data Sheet'!G45</f>
        <v>7143</v>
      </c>
      <c r="H8" s="6">
        <f>'Data Sheet'!H45</f>
        <v>6574</v>
      </c>
      <c r="I8" s="6">
        <f>'Data Sheet'!I45</f>
        <v>6005</v>
      </c>
      <c r="J8" s="6">
        <f>'Data Sheet'!J45</f>
        <v>5399</v>
      </c>
      <c r="K8" s="6">
        <f>'Data Sheet'!K45</f>
        <v>5295</v>
      </c>
    </row>
    <row r="9" spans="1:11" x14ac:dyDescent="0.3">
      <c r="A9" t="s">
        <v>11</v>
      </c>
      <c r="B9" s="6">
        <f>'Data Sheet'!B46</f>
        <v>2675.83</v>
      </c>
      <c r="C9" s="6">
        <f>'Data Sheet'!C46</f>
        <v>2641.67</v>
      </c>
      <c r="D9" s="6">
        <f>'Data Sheet'!D46</f>
        <v>2615</v>
      </c>
      <c r="E9" s="6">
        <f>'Data Sheet'!E46</f>
        <v>2652</v>
      </c>
      <c r="F9" s="6">
        <f>'Data Sheet'!F46</f>
        <v>2485</v>
      </c>
      <c r="G9" s="6">
        <f>'Data Sheet'!G46</f>
        <v>1645</v>
      </c>
      <c r="H9" s="6">
        <f>'Data Sheet'!H46</f>
        <v>2088</v>
      </c>
      <c r="I9" s="6">
        <f>'Data Sheet'!I46</f>
        <v>2034</v>
      </c>
      <c r="J9" s="6">
        <f>'Data Sheet'!J46</f>
        <v>1119</v>
      </c>
      <c r="K9" s="6">
        <f>'Data Sheet'!K46</f>
        <v>1076</v>
      </c>
    </row>
    <row r="10" spans="1:11" x14ac:dyDescent="0.3">
      <c r="A10" t="s">
        <v>12</v>
      </c>
      <c r="B10" s="6">
        <f>'Data Sheet'!B47</f>
        <v>3202.61</v>
      </c>
      <c r="C10" s="6">
        <f>'Data Sheet'!C47</f>
        <v>4875.3900000000003</v>
      </c>
      <c r="D10" s="6">
        <f>'Data Sheet'!D47</f>
        <v>4864</v>
      </c>
      <c r="E10" s="6">
        <f>'Data Sheet'!E47</f>
        <v>6035</v>
      </c>
      <c r="F10" s="6">
        <f>'Data Sheet'!F47</f>
        <v>7687</v>
      </c>
      <c r="G10" s="6">
        <f>'Data Sheet'!G47</f>
        <v>9309</v>
      </c>
      <c r="H10" s="6">
        <f>'Data Sheet'!H47</f>
        <v>8870</v>
      </c>
      <c r="I10" s="6">
        <f>'Data Sheet'!I47</f>
        <v>5767</v>
      </c>
      <c r="J10" s="6">
        <f>'Data Sheet'!J47</f>
        <v>7605</v>
      </c>
      <c r="K10" s="6">
        <f>'Data Sheet'!K47</f>
        <v>11504</v>
      </c>
    </row>
    <row r="11" spans="1:11" x14ac:dyDescent="0.3">
      <c r="A11" t="s">
        <v>13</v>
      </c>
      <c r="B11" s="6">
        <f>'Data Sheet'!B48</f>
        <v>262.83</v>
      </c>
      <c r="C11" s="6">
        <f>'Data Sheet'!C48</f>
        <v>-620.65</v>
      </c>
      <c r="D11" s="6">
        <f>'Data Sheet'!D48</f>
        <v>1563</v>
      </c>
      <c r="E11" s="6">
        <f>'Data Sheet'!E48</f>
        <v>2203</v>
      </c>
      <c r="F11" s="6">
        <f>'Data Sheet'!F48</f>
        <v>542</v>
      </c>
      <c r="G11" s="6">
        <f>'Data Sheet'!G48</f>
        <v>-8219</v>
      </c>
      <c r="H11" s="6">
        <f>'Data Sheet'!H48</f>
        <v>3178</v>
      </c>
      <c r="I11" s="6">
        <f>'Data Sheet'!I48</f>
        <v>2317</v>
      </c>
      <c r="J11" s="6">
        <f>'Data Sheet'!J48</f>
        <v>2120</v>
      </c>
      <c r="K11" s="6">
        <f>'Data Sheet'!K48</f>
        <v>2948</v>
      </c>
    </row>
    <row r="12" spans="1:11" s="2" customFormat="1" x14ac:dyDescent="0.3">
      <c r="A12" s="2" t="s">
        <v>14</v>
      </c>
      <c r="B12" s="1">
        <f>'Data Sheet'!B49</f>
        <v>2957.71</v>
      </c>
      <c r="C12" s="1">
        <f>'Data Sheet'!C49</f>
        <v>5407.79</v>
      </c>
      <c r="D12" s="1">
        <f>'Data Sheet'!D49</f>
        <v>3203</v>
      </c>
      <c r="E12" s="1">
        <f>'Data Sheet'!E49</f>
        <v>3764</v>
      </c>
      <c r="F12" s="1">
        <f>'Data Sheet'!F49</f>
        <v>7025</v>
      </c>
      <c r="G12" s="1">
        <f>'Data Sheet'!G49</f>
        <v>17407</v>
      </c>
      <c r="H12" s="1">
        <f>'Data Sheet'!H49</f>
        <v>5566</v>
      </c>
      <c r="I12" s="1">
        <f>'Data Sheet'!I49</f>
        <v>3343</v>
      </c>
      <c r="J12" s="1">
        <f>'Data Sheet'!J49</f>
        <v>5406</v>
      </c>
      <c r="K12" s="1">
        <f>'Data Sheet'!K49</f>
        <v>8470</v>
      </c>
    </row>
    <row r="14" spans="1:11" s="2" customFormat="1" x14ac:dyDescent="0.3">
      <c r="A14" s="2" t="s">
        <v>18</v>
      </c>
      <c r="B14" s="10">
        <f>IF(B4&gt;0,B6/B4,"")</f>
        <v>0.12227836379808968</v>
      </c>
      <c r="C14" s="10">
        <f t="shared" ref="C14:K14" si="0">IF(C4&gt;0,C6/C4,"")</f>
        <v>0.1237997646611257</v>
      </c>
      <c r="D14" s="10">
        <f t="shared" si="0"/>
        <v>0.12927931452717242</v>
      </c>
      <c r="E14" s="10">
        <f t="shared" si="0"/>
        <v>0.1309534001084382</v>
      </c>
      <c r="F14" s="10">
        <f t="shared" si="0"/>
        <v>0.13943225082973856</v>
      </c>
      <c r="G14" s="10">
        <f t="shared" si="0"/>
        <v>0.14017121302495947</v>
      </c>
      <c r="H14" s="10">
        <f t="shared" si="0"/>
        <v>0.14609247741744411</v>
      </c>
      <c r="I14" s="10">
        <f t="shared" si="0"/>
        <v>0.11985214391325777</v>
      </c>
      <c r="J14" s="10">
        <f t="shared" si="0"/>
        <v>0.11032075873827792</v>
      </c>
      <c r="K14" s="10">
        <f t="shared" si="0"/>
        <v>0.14073286863091303</v>
      </c>
    </row>
    <row r="22" s="19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D20" activePane="bottomRight" state="frozen"/>
      <selection activeCell="K13" sqref="K13"/>
      <selection pane="topRight" activeCell="K13" sqref="K13"/>
      <selection pane="bottomLeft" activeCell="K13" sqref="K13"/>
      <selection pane="bottomRight" activeCell="K13" sqref="K13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TATA MOTORS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24</v>
      </c>
      <c r="B4" s="14">
        <f>'Data Sheet'!B57</f>
        <v>679.18</v>
      </c>
      <c r="C4" s="14">
        <f>'Data Sheet'!C57</f>
        <v>679.22</v>
      </c>
      <c r="D4" s="14">
        <f>'Data Sheet'!D57</f>
        <v>679.22</v>
      </c>
      <c r="E4" s="14">
        <f>'Data Sheet'!E57</f>
        <v>679.22</v>
      </c>
      <c r="F4" s="14">
        <f>'Data Sheet'!F57</f>
        <v>719.54</v>
      </c>
      <c r="G4" s="14">
        <f>'Data Sheet'!G57</f>
        <v>765.81</v>
      </c>
      <c r="H4" s="14">
        <f>'Data Sheet'!H57</f>
        <v>765.88</v>
      </c>
      <c r="I4" s="14">
        <f>'Data Sheet'!I57</f>
        <v>766.02</v>
      </c>
      <c r="J4" s="14">
        <f>'Data Sheet'!J57</f>
        <v>767</v>
      </c>
      <c r="K4" s="14">
        <f>'Data Sheet'!K57</f>
        <v>736</v>
      </c>
    </row>
    <row r="5" spans="1:11" x14ac:dyDescent="0.3">
      <c r="A5" t="s">
        <v>25</v>
      </c>
      <c r="B5" s="14">
        <f>'Data Sheet'!B58</f>
        <v>78273.23</v>
      </c>
      <c r="C5" s="14">
        <f>'Data Sheet'!C58</f>
        <v>57382.67</v>
      </c>
      <c r="D5" s="14">
        <f>'Data Sheet'!D58</f>
        <v>94748.69</v>
      </c>
      <c r="E5" s="14">
        <f>'Data Sheet'!E58</f>
        <v>59500.34</v>
      </c>
      <c r="F5" s="14">
        <f>'Data Sheet'!F58</f>
        <v>62358.99</v>
      </c>
      <c r="G5" s="14">
        <f>'Data Sheet'!G58</f>
        <v>54480.91</v>
      </c>
      <c r="H5" s="14">
        <f>'Data Sheet'!H58</f>
        <v>43795.360000000001</v>
      </c>
      <c r="I5" s="14">
        <f>'Data Sheet'!I58</f>
        <v>44555.77</v>
      </c>
      <c r="J5" s="14">
        <f>'Data Sheet'!J58</f>
        <v>84151</v>
      </c>
      <c r="K5" s="14">
        <f>'Data Sheet'!K58</f>
        <v>115408</v>
      </c>
    </row>
    <row r="6" spans="1:11" x14ac:dyDescent="0.3">
      <c r="A6" t="s">
        <v>62</v>
      </c>
      <c r="B6" s="14">
        <f>'Data Sheet'!B59</f>
        <v>69359.960000000006</v>
      </c>
      <c r="C6" s="14">
        <f>'Data Sheet'!C59</f>
        <v>78603.98</v>
      </c>
      <c r="D6" s="14">
        <f>'Data Sheet'!D59</f>
        <v>88950.47</v>
      </c>
      <c r="E6" s="14">
        <f>'Data Sheet'!E59</f>
        <v>106175.34</v>
      </c>
      <c r="F6" s="14">
        <f>'Data Sheet'!F59</f>
        <v>124787.64</v>
      </c>
      <c r="G6" s="14">
        <f>'Data Sheet'!G59</f>
        <v>142130.57</v>
      </c>
      <c r="H6" s="14">
        <f>'Data Sheet'!H59</f>
        <v>146449.03</v>
      </c>
      <c r="I6" s="14">
        <f>'Data Sheet'!I59</f>
        <v>134113.44</v>
      </c>
      <c r="J6" s="14">
        <f>'Data Sheet'!J59</f>
        <v>107264</v>
      </c>
      <c r="K6" s="14">
        <f>'Data Sheet'!K59</f>
        <v>71540</v>
      </c>
    </row>
    <row r="7" spans="1:11" x14ac:dyDescent="0.3">
      <c r="A7" t="s">
        <v>63</v>
      </c>
      <c r="B7" s="14">
        <f>'Data Sheet'!B60</f>
        <v>114871.75</v>
      </c>
      <c r="C7" s="14">
        <f>'Data Sheet'!C60</f>
        <v>135914.49</v>
      </c>
      <c r="D7" s="14">
        <f>'Data Sheet'!D60</f>
        <v>142813.43</v>
      </c>
      <c r="E7" s="14">
        <f>'Data Sheet'!E60</f>
        <v>139348.59</v>
      </c>
      <c r="F7" s="14">
        <f>'Data Sheet'!F60</f>
        <v>132313.22</v>
      </c>
      <c r="G7" s="14">
        <f>'Data Sheet'!G60</f>
        <v>144192.62</v>
      </c>
      <c r="H7" s="14">
        <f>'Data Sheet'!H60</f>
        <v>138051.22</v>
      </c>
      <c r="I7" s="14">
        <f>'Data Sheet'!I60</f>
        <v>155239.20000000001</v>
      </c>
      <c r="J7" s="14">
        <f>'Data Sheet'!J60</f>
        <v>177339</v>
      </c>
      <c r="K7" s="14">
        <f>'Data Sheet'!K60</f>
        <v>189289</v>
      </c>
    </row>
    <row r="8" spans="1:11" s="2" customFormat="1" x14ac:dyDescent="0.3">
      <c r="A8" s="2" t="s">
        <v>26</v>
      </c>
      <c r="B8" s="15">
        <f>'Data Sheet'!B61</f>
        <v>263184.12</v>
      </c>
      <c r="C8" s="15">
        <f>'Data Sheet'!C61</f>
        <v>272580.36</v>
      </c>
      <c r="D8" s="15">
        <f>'Data Sheet'!D61</f>
        <v>327191.81</v>
      </c>
      <c r="E8" s="15">
        <f>'Data Sheet'!E61</f>
        <v>305703.49</v>
      </c>
      <c r="F8" s="15">
        <f>'Data Sheet'!F61</f>
        <v>320179.39</v>
      </c>
      <c r="G8" s="15">
        <f>'Data Sheet'!G61</f>
        <v>341569.91</v>
      </c>
      <c r="H8" s="15">
        <f>'Data Sheet'!H61</f>
        <v>329061.49</v>
      </c>
      <c r="I8" s="15">
        <f>'Data Sheet'!I61</f>
        <v>334674.43</v>
      </c>
      <c r="J8" s="15">
        <f>'Data Sheet'!J61</f>
        <v>369521</v>
      </c>
      <c r="K8" s="15">
        <f>'Data Sheet'!K61</f>
        <v>376973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107231.76</v>
      </c>
      <c r="C10" s="14">
        <f>'Data Sheet'!C62</f>
        <v>95944.08</v>
      </c>
      <c r="D10" s="14">
        <f>'Data Sheet'!D62</f>
        <v>121413.86</v>
      </c>
      <c r="E10" s="14">
        <f>'Data Sheet'!E62</f>
        <v>111234.47</v>
      </c>
      <c r="F10" s="14">
        <f>'Data Sheet'!F62</f>
        <v>127107.14</v>
      </c>
      <c r="G10" s="14">
        <f>'Data Sheet'!G62</f>
        <v>138707.60999999999</v>
      </c>
      <c r="H10" s="14">
        <f>'Data Sheet'!H62</f>
        <v>138855.45000000001</v>
      </c>
      <c r="I10" s="14">
        <f>'Data Sheet'!I62</f>
        <v>132079.76</v>
      </c>
      <c r="J10" s="14">
        <f>'Data Sheet'!J62</f>
        <v>121285</v>
      </c>
      <c r="K10" s="14">
        <f>'Data Sheet'!K62</f>
        <v>115697</v>
      </c>
    </row>
    <row r="11" spans="1:11" x14ac:dyDescent="0.3">
      <c r="A11" t="s">
        <v>28</v>
      </c>
      <c r="B11" s="14">
        <f>'Data Sheet'!B63</f>
        <v>25918.94</v>
      </c>
      <c r="C11" s="14">
        <f>'Data Sheet'!C63</f>
        <v>33698.839999999997</v>
      </c>
      <c r="D11" s="14">
        <f>'Data Sheet'!D63</f>
        <v>40033.5</v>
      </c>
      <c r="E11" s="14">
        <f>'Data Sheet'!E63</f>
        <v>31883.84</v>
      </c>
      <c r="F11" s="14">
        <f>'Data Sheet'!F63</f>
        <v>35622.29</v>
      </c>
      <c r="G11" s="14">
        <f>'Data Sheet'!G63</f>
        <v>20963.93</v>
      </c>
      <c r="H11" s="14">
        <f>'Data Sheet'!H63</f>
        <v>10251.09</v>
      </c>
      <c r="I11" s="14">
        <f>'Data Sheet'!I63</f>
        <v>14274.5</v>
      </c>
      <c r="J11" s="14">
        <f>'Data Sheet'!J63</f>
        <v>35698</v>
      </c>
      <c r="K11" s="14">
        <f>'Data Sheet'!K63</f>
        <v>65806</v>
      </c>
    </row>
    <row r="12" spans="1:11" x14ac:dyDescent="0.3">
      <c r="A12" t="s">
        <v>29</v>
      </c>
      <c r="B12" s="14">
        <f>'Data Sheet'!B64</f>
        <v>23767.02</v>
      </c>
      <c r="C12" s="14">
        <f>'Data Sheet'!C64</f>
        <v>20337.919999999998</v>
      </c>
      <c r="D12" s="14">
        <f>'Data Sheet'!D64</f>
        <v>20812.75</v>
      </c>
      <c r="E12" s="14">
        <f>'Data Sheet'!E64</f>
        <v>15770.72</v>
      </c>
      <c r="F12" s="14">
        <f>'Data Sheet'!F64</f>
        <v>16308.48</v>
      </c>
      <c r="G12" s="14">
        <f>'Data Sheet'!G64</f>
        <v>24620.28</v>
      </c>
      <c r="H12" s="14">
        <f>'Data Sheet'!H64</f>
        <v>29379.53</v>
      </c>
      <c r="I12" s="14">
        <f>'Data Sheet'!I64</f>
        <v>26379.16</v>
      </c>
      <c r="J12" s="14">
        <f>'Data Sheet'!J64</f>
        <v>22971</v>
      </c>
      <c r="K12" s="14">
        <f>'Data Sheet'!K64</f>
        <v>35656</v>
      </c>
    </row>
    <row r="13" spans="1:11" x14ac:dyDescent="0.3">
      <c r="A13" t="s">
        <v>64</v>
      </c>
      <c r="B13" s="14">
        <f>'Data Sheet'!B65</f>
        <v>106266.4</v>
      </c>
      <c r="C13" s="14">
        <f>'Data Sheet'!C65</f>
        <v>122599.52</v>
      </c>
      <c r="D13" s="14">
        <f>'Data Sheet'!D65</f>
        <v>144931.70000000001</v>
      </c>
      <c r="E13" s="14">
        <f>'Data Sheet'!E65</f>
        <v>146814.46</v>
      </c>
      <c r="F13" s="14">
        <f>'Data Sheet'!F65</f>
        <v>141141.48000000001</v>
      </c>
      <c r="G13" s="14">
        <f>'Data Sheet'!G65</f>
        <v>157278.09</v>
      </c>
      <c r="H13" s="14">
        <f>'Data Sheet'!H65</f>
        <v>150575.42000000001</v>
      </c>
      <c r="I13" s="14">
        <f>'Data Sheet'!I65</f>
        <v>161941.01</v>
      </c>
      <c r="J13" s="14">
        <f>'Data Sheet'!J65</f>
        <v>189567</v>
      </c>
      <c r="K13" s="22">
        <f>'Data Sheet'!K65</f>
        <v>159814</v>
      </c>
    </row>
    <row r="14" spans="1:11" s="2" customFormat="1" x14ac:dyDescent="0.3">
      <c r="A14" s="2" t="s">
        <v>26</v>
      </c>
      <c r="B14" s="14">
        <f>'Data Sheet'!B66</f>
        <v>263184.12</v>
      </c>
      <c r="C14" s="14">
        <f>'Data Sheet'!C66</f>
        <v>272580.36</v>
      </c>
      <c r="D14" s="14">
        <f>'Data Sheet'!D66</f>
        <v>327191.81</v>
      </c>
      <c r="E14" s="14">
        <f>'Data Sheet'!E66</f>
        <v>305703.49</v>
      </c>
      <c r="F14" s="14">
        <f>'Data Sheet'!F66</f>
        <v>320179.39</v>
      </c>
      <c r="G14" s="14">
        <f>'Data Sheet'!G66</f>
        <v>341569.91</v>
      </c>
      <c r="H14" s="14">
        <f>'Data Sheet'!H66</f>
        <v>329061.49</v>
      </c>
      <c r="I14" s="14">
        <f>'Data Sheet'!I66</f>
        <v>334674.43</v>
      </c>
      <c r="J14" s="14">
        <f>'Data Sheet'!J66</f>
        <v>369521</v>
      </c>
      <c r="K14" s="14">
        <f>'Data Sheet'!K66</f>
        <v>376973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-8605.3500000000058</v>
      </c>
      <c r="C16" s="4">
        <f t="shared" ref="C16:K16" si="0">C13-C7</f>
        <v>-13314.969999999987</v>
      </c>
      <c r="D16" s="4">
        <f t="shared" si="0"/>
        <v>2118.2700000000186</v>
      </c>
      <c r="E16" s="4">
        <f t="shared" si="0"/>
        <v>7465.8699999999953</v>
      </c>
      <c r="F16" s="4">
        <f t="shared" si="0"/>
        <v>8828.2600000000093</v>
      </c>
      <c r="G16" s="4">
        <f t="shared" si="0"/>
        <v>13085.470000000001</v>
      </c>
      <c r="H16" s="4">
        <f t="shared" si="0"/>
        <v>12524.200000000012</v>
      </c>
      <c r="I16" s="4">
        <f t="shared" si="0"/>
        <v>6701.8099999999977</v>
      </c>
      <c r="J16" s="4">
        <f t="shared" si="0"/>
        <v>12228</v>
      </c>
      <c r="K16" s="4">
        <f t="shared" si="0"/>
        <v>-29475</v>
      </c>
    </row>
    <row r="17" spans="1:11" x14ac:dyDescent="0.3">
      <c r="A17" t="s">
        <v>44</v>
      </c>
      <c r="B17" s="4">
        <f>'Data Sheet'!B67</f>
        <v>13570.91</v>
      </c>
      <c r="C17" s="4">
        <f>'Data Sheet'!C67</f>
        <v>14075.55</v>
      </c>
      <c r="D17" s="4">
        <f>'Data Sheet'!D67</f>
        <v>19893.3</v>
      </c>
      <c r="E17" s="4">
        <f>'Data Sheet'!E67</f>
        <v>18996.169999999998</v>
      </c>
      <c r="F17" s="4">
        <f>'Data Sheet'!F67</f>
        <v>11172.69</v>
      </c>
      <c r="G17" s="4">
        <f>'Data Sheet'!G67</f>
        <v>12679.08</v>
      </c>
      <c r="H17" s="4">
        <f>'Data Sheet'!H67</f>
        <v>12442.12</v>
      </c>
      <c r="I17" s="4">
        <f>'Data Sheet'!I67</f>
        <v>15737.97</v>
      </c>
      <c r="J17" s="4">
        <f>'Data Sheet'!J67</f>
        <v>16952</v>
      </c>
      <c r="K17" s="4">
        <f>'Data Sheet'!K67</f>
        <v>13248</v>
      </c>
    </row>
    <row r="18" spans="1:11" x14ac:dyDescent="0.3">
      <c r="A18" t="s">
        <v>45</v>
      </c>
      <c r="B18" s="4">
        <f>'Data Sheet'!B68</f>
        <v>32655.73</v>
      </c>
      <c r="C18" s="4">
        <f>'Data Sheet'!C68</f>
        <v>35085.31</v>
      </c>
      <c r="D18" s="4">
        <f>'Data Sheet'!D68</f>
        <v>42137.63</v>
      </c>
      <c r="E18" s="4">
        <f>'Data Sheet'!E68</f>
        <v>39013.730000000003</v>
      </c>
      <c r="F18" s="4">
        <f>'Data Sheet'!F68</f>
        <v>37456.879999999997</v>
      </c>
      <c r="G18" s="4">
        <f>'Data Sheet'!G68</f>
        <v>36088.589999999997</v>
      </c>
      <c r="H18" s="4">
        <f>'Data Sheet'!H68</f>
        <v>35240.339999999997</v>
      </c>
      <c r="I18" s="4">
        <f>'Data Sheet'!I68</f>
        <v>40755.39</v>
      </c>
      <c r="J18" s="4">
        <f>'Data Sheet'!J68</f>
        <v>47788</v>
      </c>
      <c r="K18" s="4">
        <f>'Data Sheet'!K68</f>
        <v>47269</v>
      </c>
    </row>
    <row r="20" spans="1:11" x14ac:dyDescent="0.3">
      <c r="A20" t="s">
        <v>46</v>
      </c>
      <c r="B20" s="4">
        <f>IF('Profit &amp; Loss'!B4&gt;0,'Balance Sheet'!B17/('Profit &amp; Loss'!B4/365),0)</f>
        <v>18.141226776772818</v>
      </c>
      <c r="C20" s="4">
        <f>IF('Profit &amp; Loss'!C4&gt;0,'Balance Sheet'!C17/('Profit &amp; Loss'!C4/365),0)</f>
        <v>19.049753180019717</v>
      </c>
      <c r="D20" s="4">
        <f>IF('Profit &amp; Loss'!D4&gt;0,'Balance Sheet'!D17/('Profit &amp; Loss'!D4/365),0)</f>
        <v>24.904964999543132</v>
      </c>
      <c r="E20" s="4">
        <f>IF('Profit &amp; Loss'!E4&gt;0,'Balance Sheet'!E17/('Profit &amp; Loss'!E4/365),0)</f>
        <v>22.963631157878556</v>
      </c>
      <c r="F20" s="4">
        <f>IF('Profit &amp; Loss'!F4&gt;0,'Balance Sheet'!F17/('Profit &amp; Loss'!F4/365),0)</f>
        <v>15.62057517051977</v>
      </c>
      <c r="G20" s="4">
        <f>IF('Profit &amp; Loss'!G4&gt;0,'Balance Sheet'!G17/('Profit &amp; Loss'!G4/365),0)</f>
        <v>18.526667193766084</v>
      </c>
      <c r="H20" s="4">
        <f>IF('Profit &amp; Loss'!H4&gt;0,'Balance Sheet'!H17/('Profit &amp; Loss'!H4/365),0)</f>
        <v>16.309264717046958</v>
      </c>
      <c r="I20" s="4">
        <f>IF('Profit &amp; Loss'!I4&gt;0,'Balance Sheet'!I17/('Profit &amp; Loss'!I4/365),0)</f>
        <v>16.603778823163381</v>
      </c>
      <c r="J20" s="4">
        <f>IF('Profit &amp; Loss'!J4&gt;0,'Balance Sheet'!J17/('Profit &amp; Loss'!J4/365),0)</f>
        <v>14.256340780063409</v>
      </c>
      <c r="K20" s="4">
        <f>IF('Profit &amp; Loss'!K4&gt;0,'Balance Sheet'!K17/('Profit &amp; Loss'!K4/365),0)</f>
        <v>10.9974414082489</v>
      </c>
    </row>
    <row r="21" spans="1:11" x14ac:dyDescent="0.3">
      <c r="A21" t="s">
        <v>47</v>
      </c>
      <c r="B21" s="4">
        <f>IF('Balance Sheet'!B18&gt;0,'Profit &amp; Loss'!B4/'Balance Sheet'!B18,0)</f>
        <v>8.3613381173839922</v>
      </c>
      <c r="C21" s="4">
        <f>IF('Balance Sheet'!C18&gt;0,'Profit &amp; Loss'!C4/'Balance Sheet'!C18,0)</f>
        <v>7.6867643466738649</v>
      </c>
      <c r="D21" s="4">
        <f>IF('Balance Sheet'!D18&gt;0,'Profit &amp; Loss'!D4/'Balance Sheet'!D18,0)</f>
        <v>6.9190051742350009</v>
      </c>
      <c r="E21" s="4">
        <f>IF('Balance Sheet'!E18&gt;0,'Profit &amp; Loss'!E4/'Balance Sheet'!E18,0)</f>
        <v>7.7392856309817084</v>
      </c>
      <c r="F21" s="4">
        <f>IF('Balance Sheet'!F18&gt;0,'Profit &amp; Loss'!F4/'Balance Sheet'!F18,0)</f>
        <v>6.9698269049637886</v>
      </c>
      <c r="G21" s="4">
        <f>IF('Balance Sheet'!G18&gt;0,'Profit &amp; Loss'!G4/'Balance Sheet'!G18,0)</f>
        <v>6.9217098811563442</v>
      </c>
      <c r="H21" s="4">
        <f>IF('Balance Sheet'!H18&gt;0,'Profit &amp; Loss'!H4/'Balance Sheet'!H18,0)</f>
        <v>7.9015588385356104</v>
      </c>
      <c r="I21" s="4">
        <f>IF('Balance Sheet'!I18&gt;0,'Profit &amp; Loss'!I4/'Balance Sheet'!I18,0)</f>
        <v>8.4888641723217457</v>
      </c>
      <c r="J21" s="4">
        <f>IF('Balance Sheet'!J18&gt;0,'Profit &amp; Loss'!J4/'Balance Sheet'!J18,0)</f>
        <v>9.0821126642671803</v>
      </c>
      <c r="K21" s="4">
        <f>IF('Balance Sheet'!K18&gt;0,'Profit &amp; Loss'!K4/'Balance Sheet'!K18,0)</f>
        <v>9.3019738094734397</v>
      </c>
    </row>
    <row r="23" spans="1:11" s="2" customFormat="1" x14ac:dyDescent="0.3">
      <c r="A23" s="2" t="s">
        <v>50</v>
      </c>
      <c r="B23" s="10">
        <f>IF(SUM('Balance Sheet'!B4:B5)&gt;0,'Profit &amp; Loss'!B12/SUM('Balance Sheet'!B4:B5),"")</f>
        <v>0.14666189417143824</v>
      </c>
      <c r="C23" s="10">
        <f>IF(SUM('Balance Sheet'!C4:C5)&gt;0,'Profit &amp; Loss'!C12/SUM('Balance Sheet'!C4:C5),"")</f>
        <v>0.1283864510783235</v>
      </c>
      <c r="D23" s="10">
        <f>IF(SUM('Balance Sheet'!D4:D5)&gt;0,'Profit &amp; Loss'!D12/SUM('Balance Sheet'!D4:D5),"")</f>
        <v>9.4195817554843228E-2</v>
      </c>
      <c r="E23" s="10">
        <f>IF(SUM('Balance Sheet'!E4:E5)&gt;0,'Profit &amp; Loss'!E12/SUM('Balance Sheet'!E4:E5),"")</f>
        <v>-0.47900366835516911</v>
      </c>
      <c r="F23" s="10">
        <f>IF(SUM('Balance Sheet'!F4:F5)&gt;0,'Profit &amp; Loss'!F12/SUM('Balance Sheet'!F4:F5),"")</f>
        <v>-0.19136225907610721</v>
      </c>
      <c r="G23" s="10">
        <f>IF(SUM('Balance Sheet'!G4:G5)&gt;0,'Profit &amp; Loss'!G12/SUM('Balance Sheet'!G4:G5),"")</f>
        <v>-0.24347852687001145</v>
      </c>
      <c r="H23" s="10">
        <f>IF(SUM('Balance Sheet'!H4:H5)&gt;0,'Profit &amp; Loss'!H12/SUM('Balance Sheet'!H4:H5),"")</f>
        <v>-0.25675833975894746</v>
      </c>
      <c r="I23" s="10">
        <f>IF(SUM('Balance Sheet'!I4:I5)&gt;0,'Profit &amp; Loss'!I12/SUM('Balance Sheet'!I4:I5),"")</f>
        <v>5.326996131441411E-2</v>
      </c>
      <c r="J23" s="10">
        <f>IF(SUM('Balance Sheet'!J4:J5)&gt;0,'Profit &amp; Loss'!J12/SUM('Balance Sheet'!J4:J5),"")</f>
        <v>0.36975670646977082</v>
      </c>
      <c r="K23" s="10">
        <f>IF(SUM('Balance Sheet'!K4:K5)&gt;0,'Profit &amp; Loss'!K12/SUM('Balance Sheet'!K4:K5),"")</f>
        <v>0.23961633833861412</v>
      </c>
    </row>
    <row r="24" spans="1:11" s="2" customFormat="1" x14ac:dyDescent="0.3">
      <c r="A24" s="2" t="s">
        <v>51</v>
      </c>
      <c r="B24" s="10"/>
      <c r="C24" s="10">
        <f>IF((B4+B5+B6+C4+C5+C6)&gt;0,('Profit &amp; Loss'!C10+'Profit &amp; Loss'!C9)*2/(B4+B5+B6+C4+C5+C6),"")</f>
        <v>9.5114630506525702E-2</v>
      </c>
      <c r="D24" s="10">
        <f>IF((C4+C5+C6+D4+D5+D6)&gt;0,('Profit &amp; Loss'!D10+'Profit &amp; Loss'!D9)*2/(C4+C5+C6+D4+D5+D6),"")</f>
        <v>9.8658175625322669E-2</v>
      </c>
      <c r="E24" s="10">
        <f>IF((D4+D5+D6+E4+E5+E6)&gt;0,('Profit &amp; Loss'!E10+'Profit &amp; Loss'!E9)*2/(D4+D5+D6+E4+E5+E6),"")</f>
        <v>-0.14605143828951733</v>
      </c>
      <c r="F24" s="10">
        <f>IF((E4+E5+E6+F4+F5+F6)&gt;0,('Profit &amp; Loss'!F10+'Profit &amp; Loss'!F9)*2/(E4+E5+E6+F4+F5+F6),"")</f>
        <v>-1.8839364919766063E-2</v>
      </c>
      <c r="G24" s="10">
        <f>IF((F4+F5+F6+G4+G5+G6)&gt;0,('Profit &amp; Loss'!G10+'Profit &amp; Loss'!G9)*2/(F4+F5+F6+G4+G5+G6),"")</f>
        <v>-1.2340819491134259E-2</v>
      </c>
      <c r="H24" s="10">
        <f>IF((G4+G5+G6+H4+H5+H6)&gt;0,('Profit &amp; Loss'!H10+'Profit &amp; Loss'!H9)*2/(G4+G5+G6+H4+H5+H6),"")</f>
        <v>1.1887352931695343E-2</v>
      </c>
      <c r="I24" s="10">
        <f>IF((H4+H5+H6+I4+I5+I6)&gt;0,('Profit &amp; Loss'!I10+'Profit &amp; Loss'!I9)*2/(H4+H5+H6+I4+I5+I6),"")</f>
        <v>7.3529898460097373E-2</v>
      </c>
      <c r="J24" s="10">
        <f>IF((I4+I5+I6+J4+J5+J6)&gt;0,('Profit &amp; Loss'!J10+'Profit &amp; Loss'!J9)*2/(I4+I5+I6+J4+J5+J6),"")</f>
        <v>0.19039483180045233</v>
      </c>
      <c r="K24" s="10">
        <f>IF((J4+J5+J6+K4+K5+K6)&gt;0,('Profit &amp; Loss'!K10+'Profit &amp; Loss'!K9)*2/(J4+J5+J6+K4+K5+K6),"")</f>
        <v>0.23026014436669773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B4" activePane="bottomRight" state="frozen"/>
      <selection activeCell="K13" sqref="K13"/>
      <selection pane="topRight" activeCell="K13" sqref="K13"/>
      <selection pane="bottomLeft" activeCell="K13" sqref="K13"/>
      <selection pane="bottomRight" activeCell="K13" sqref="K13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TATA MOTORS LTD</v>
      </c>
      <c r="E1" t="str">
        <f>UPDATE</f>
        <v/>
      </c>
      <c r="F1"/>
      <c r="J1" s="2" t="s">
        <v>1</v>
      </c>
    </row>
    <row r="3" spans="1:11" s="2" customFormat="1" x14ac:dyDescent="0.3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32</v>
      </c>
      <c r="B4" s="1">
        <f>'Data Sheet'!B82</f>
        <v>37899.54</v>
      </c>
      <c r="C4" s="1">
        <f>'Data Sheet'!C82</f>
        <v>30199.25</v>
      </c>
      <c r="D4" s="1">
        <f>'Data Sheet'!D82</f>
        <v>23857.42</v>
      </c>
      <c r="E4" s="1">
        <f>'Data Sheet'!E82</f>
        <v>18890.75</v>
      </c>
      <c r="F4" s="1">
        <f>'Data Sheet'!F82</f>
        <v>26632.94</v>
      </c>
      <c r="G4" s="1">
        <f>'Data Sheet'!G82</f>
        <v>29000.51</v>
      </c>
      <c r="H4" s="1">
        <f>'Data Sheet'!H82</f>
        <v>14282.83</v>
      </c>
      <c r="I4" s="1">
        <f>'Data Sheet'!I82</f>
        <v>35388.01</v>
      </c>
      <c r="J4" s="1">
        <f>'Data Sheet'!J82</f>
        <v>67915</v>
      </c>
      <c r="K4" s="1">
        <f>'Data Sheet'!K82</f>
        <v>63102</v>
      </c>
    </row>
    <row r="5" spans="1:11" x14ac:dyDescent="0.3">
      <c r="A5" t="s">
        <v>33</v>
      </c>
      <c r="B5" s="6">
        <f>'Data Sheet'!B83</f>
        <v>-36693.9</v>
      </c>
      <c r="C5" s="6">
        <f>'Data Sheet'!C83</f>
        <v>-39571.4</v>
      </c>
      <c r="D5" s="6">
        <f>'Data Sheet'!D83</f>
        <v>-25139.14</v>
      </c>
      <c r="E5" s="6">
        <f>'Data Sheet'!E83</f>
        <v>-20878.07</v>
      </c>
      <c r="F5" s="6">
        <f>'Data Sheet'!F83</f>
        <v>-33114.550000000003</v>
      </c>
      <c r="G5" s="6">
        <f>'Data Sheet'!G83</f>
        <v>-25672.5</v>
      </c>
      <c r="H5" s="6">
        <f>'Data Sheet'!H83</f>
        <v>-4443.66</v>
      </c>
      <c r="I5" s="6">
        <f>'Data Sheet'!I83</f>
        <v>-15417.17</v>
      </c>
      <c r="J5" s="6">
        <f>'Data Sheet'!J83</f>
        <v>-22781</v>
      </c>
      <c r="K5" s="6">
        <f>'Data Sheet'!K83</f>
        <v>-49982</v>
      </c>
    </row>
    <row r="6" spans="1:11" x14ac:dyDescent="0.3">
      <c r="A6" t="s">
        <v>34</v>
      </c>
      <c r="B6" s="6">
        <f>'Data Sheet'!B84</f>
        <v>-3795.12</v>
      </c>
      <c r="C6" s="6">
        <f>'Data Sheet'!C84</f>
        <v>6205.3</v>
      </c>
      <c r="D6" s="6">
        <f>'Data Sheet'!D84</f>
        <v>2011.71</v>
      </c>
      <c r="E6" s="6">
        <f>'Data Sheet'!E84</f>
        <v>8830.3700000000008</v>
      </c>
      <c r="F6" s="6">
        <f>'Data Sheet'!F84</f>
        <v>3389.61</v>
      </c>
      <c r="G6" s="6">
        <f>'Data Sheet'!G84</f>
        <v>9904.2000000000007</v>
      </c>
      <c r="H6" s="6">
        <f>'Data Sheet'!H84</f>
        <v>-3380.17</v>
      </c>
      <c r="I6" s="6">
        <f>'Data Sheet'!I84</f>
        <v>-26242.9</v>
      </c>
      <c r="J6" s="6">
        <f>'Data Sheet'!J84</f>
        <v>-37006</v>
      </c>
      <c r="K6" s="6">
        <f>'Data Sheet'!K84</f>
        <v>-18786</v>
      </c>
    </row>
    <row r="7" spans="1:11" s="2" customFormat="1" x14ac:dyDescent="0.3">
      <c r="A7" s="2" t="s">
        <v>35</v>
      </c>
      <c r="B7" s="1">
        <f>'Data Sheet'!B85</f>
        <v>-2589.48</v>
      </c>
      <c r="C7" s="1">
        <f>'Data Sheet'!C85</f>
        <v>-3166.85</v>
      </c>
      <c r="D7" s="1">
        <f>'Data Sheet'!D85</f>
        <v>729.99</v>
      </c>
      <c r="E7" s="1">
        <f>'Data Sheet'!E85</f>
        <v>6843.05</v>
      </c>
      <c r="F7" s="1">
        <f>'Data Sheet'!F85</f>
        <v>-3092</v>
      </c>
      <c r="G7" s="1">
        <f>'Data Sheet'!G85</f>
        <v>13232.21</v>
      </c>
      <c r="H7" s="1">
        <f>'Data Sheet'!H85</f>
        <v>6459</v>
      </c>
      <c r="I7" s="1">
        <f>'Data Sheet'!I85</f>
        <v>-6272.06</v>
      </c>
      <c r="J7" s="1">
        <f>'Data Sheet'!J85</f>
        <v>8128</v>
      </c>
      <c r="K7" s="1">
        <f>'Data Sheet'!K85</f>
        <v>-5666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Normal="120" zoomScalePageLayoutView="120" workbookViewId="0">
      <pane xSplit="1" ySplit="1" topLeftCell="B2" activePane="bottomRight" state="frozen"/>
      <selection activeCell="K13" sqref="K13"/>
      <selection pane="topRight" activeCell="K13" sqref="K13"/>
      <selection pane="bottomLeft" activeCell="K13" sqref="K13"/>
      <selection pane="bottomRight" activeCell="C75" sqref="C75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54</v>
      </c>
      <c r="E1" s="175" t="str">
        <f>IF(B2&lt;&gt;B3, "A NEW VERSION OF THE WORKSHEET IS AVAILABLE", "")</f>
        <v/>
      </c>
      <c r="F1" s="175"/>
      <c r="G1" s="175"/>
      <c r="H1" s="175"/>
      <c r="I1" s="175"/>
      <c r="J1" s="175"/>
      <c r="K1" s="175"/>
    </row>
    <row r="2" spans="1:11" x14ac:dyDescent="0.3">
      <c r="A2" s="1" t="s">
        <v>52</v>
      </c>
      <c r="B2" s="4">
        <v>2.1</v>
      </c>
      <c r="E2" s="176" t="s">
        <v>36</v>
      </c>
      <c r="F2" s="176"/>
      <c r="G2" s="176"/>
      <c r="H2" s="176"/>
      <c r="I2" s="176"/>
      <c r="J2" s="176"/>
      <c r="K2" s="176"/>
    </row>
    <row r="3" spans="1:11" x14ac:dyDescent="0.3">
      <c r="A3" s="1" t="s">
        <v>53</v>
      </c>
      <c r="B3" s="4">
        <v>2.1</v>
      </c>
    </row>
    <row r="4" spans="1:11" x14ac:dyDescent="0.3">
      <c r="A4" s="1"/>
    </row>
    <row r="5" spans="1:11" x14ac:dyDescent="0.3">
      <c r="A5" s="1" t="s">
        <v>55</v>
      </c>
    </row>
    <row r="6" spans="1:11" x14ac:dyDescent="0.3">
      <c r="A6" s="4" t="s">
        <v>42</v>
      </c>
      <c r="B6" s="4">
        <f>IF(B9&gt;0, B9/B8, 0)</f>
        <v>368.14622936189204</v>
      </c>
    </row>
    <row r="7" spans="1:11" x14ac:dyDescent="0.3">
      <c r="A7" s="4" t="s">
        <v>31</v>
      </c>
      <c r="B7">
        <v>2</v>
      </c>
    </row>
    <row r="8" spans="1:11" x14ac:dyDescent="0.3">
      <c r="A8" s="4" t="s">
        <v>43</v>
      </c>
      <c r="B8">
        <v>672.3</v>
      </c>
    </row>
    <row r="9" spans="1:11" x14ac:dyDescent="0.3">
      <c r="A9" s="4" t="s">
        <v>70</v>
      </c>
      <c r="B9">
        <v>247504.71</v>
      </c>
    </row>
    <row r="13" spans="1:11" x14ac:dyDescent="0.3">
      <c r="K13" s="21"/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6</v>
      </c>
      <c r="B17">
        <v>273045.59999999998</v>
      </c>
      <c r="C17">
        <v>269692.51</v>
      </c>
      <c r="D17">
        <v>291550.48</v>
      </c>
      <c r="E17">
        <v>301938.40000000002</v>
      </c>
      <c r="F17">
        <v>261067.97</v>
      </c>
      <c r="G17">
        <v>249794.75</v>
      </c>
      <c r="H17">
        <v>278453.62</v>
      </c>
      <c r="I17">
        <v>345966.97</v>
      </c>
      <c r="J17">
        <v>434016</v>
      </c>
      <c r="K17">
        <v>439695</v>
      </c>
    </row>
    <row r="18" spans="1:11" s="6" customFormat="1" x14ac:dyDescent="0.3">
      <c r="A18" s="4" t="s">
        <v>71</v>
      </c>
      <c r="B18">
        <v>166134.01</v>
      </c>
      <c r="C18">
        <v>173294.07999999999</v>
      </c>
      <c r="D18">
        <v>187896.58</v>
      </c>
      <c r="E18">
        <v>194267.91</v>
      </c>
      <c r="F18">
        <v>164899.82</v>
      </c>
      <c r="G18">
        <v>153607.35999999999</v>
      </c>
      <c r="H18">
        <v>179295.33</v>
      </c>
      <c r="I18">
        <v>231251.26</v>
      </c>
      <c r="J18">
        <v>274321</v>
      </c>
      <c r="K18">
        <v>268950</v>
      </c>
    </row>
    <row r="19" spans="1:11" s="6" customFormat="1" x14ac:dyDescent="0.3">
      <c r="A19" s="4" t="s">
        <v>72</v>
      </c>
      <c r="B19">
        <v>2750.99</v>
      </c>
      <c r="C19">
        <v>7399.92</v>
      </c>
      <c r="D19">
        <v>2046.58</v>
      </c>
      <c r="E19">
        <v>-2053.2800000000002</v>
      </c>
      <c r="F19">
        <v>-2231.19</v>
      </c>
      <c r="G19">
        <v>-4684.16</v>
      </c>
      <c r="H19">
        <v>-1590.49</v>
      </c>
      <c r="I19">
        <v>4781.62</v>
      </c>
      <c r="J19">
        <v>1566</v>
      </c>
      <c r="K19">
        <v>-2836</v>
      </c>
    </row>
    <row r="20" spans="1:11" s="6" customFormat="1" x14ac:dyDescent="0.3">
      <c r="A20" s="4" t="s">
        <v>73</v>
      </c>
      <c r="B20">
        <v>1143.6300000000001</v>
      </c>
      <c r="C20">
        <v>1159.82</v>
      </c>
      <c r="D20">
        <v>1308.08</v>
      </c>
      <c r="E20">
        <v>1585.93</v>
      </c>
      <c r="F20">
        <v>1264.95</v>
      </c>
      <c r="G20">
        <v>1112.8699999999999</v>
      </c>
      <c r="H20">
        <v>2178.29</v>
      </c>
      <c r="I20">
        <v>2513.33</v>
      </c>
      <c r="J20">
        <v>2189</v>
      </c>
      <c r="K20">
        <v>2443</v>
      </c>
    </row>
    <row r="21" spans="1:11" s="6" customFormat="1" x14ac:dyDescent="0.3">
      <c r="A21" s="4" t="s">
        <v>74</v>
      </c>
      <c r="B21">
        <v>12101.53</v>
      </c>
      <c r="C21">
        <v>10067.370000000001</v>
      </c>
      <c r="D21">
        <v>10971.66</v>
      </c>
      <c r="E21">
        <v>11694.54</v>
      </c>
      <c r="F21">
        <v>11541.51</v>
      </c>
      <c r="G21">
        <v>8273.17</v>
      </c>
      <c r="H21">
        <v>9427.3799999999992</v>
      </c>
      <c r="I21">
        <v>11765.97</v>
      </c>
      <c r="J21">
        <v>17446</v>
      </c>
      <c r="K21">
        <v>18813</v>
      </c>
    </row>
    <row r="22" spans="1:11" s="6" customFormat="1" x14ac:dyDescent="0.3">
      <c r="A22" s="4" t="s">
        <v>75</v>
      </c>
      <c r="B22">
        <v>28880.89</v>
      </c>
      <c r="C22">
        <v>28332.89</v>
      </c>
      <c r="D22">
        <v>30300.09</v>
      </c>
      <c r="E22">
        <v>33243.870000000003</v>
      </c>
      <c r="F22">
        <v>30438.6</v>
      </c>
      <c r="G22">
        <v>27648.48</v>
      </c>
      <c r="H22">
        <v>30808.52</v>
      </c>
      <c r="I22">
        <v>33654.699999999997</v>
      </c>
      <c r="J22">
        <v>41990</v>
      </c>
      <c r="K22">
        <v>47767</v>
      </c>
    </row>
    <row r="23" spans="1:11" s="6" customFormat="1" x14ac:dyDescent="0.3">
      <c r="A23" s="4" t="s">
        <v>76</v>
      </c>
      <c r="B23">
        <v>21991.9</v>
      </c>
      <c r="C23">
        <v>30039.38</v>
      </c>
      <c r="D23">
        <v>31004.58</v>
      </c>
      <c r="E23">
        <v>32719.8</v>
      </c>
      <c r="F23">
        <v>29248.32</v>
      </c>
      <c r="G23">
        <v>23015.79</v>
      </c>
      <c r="H23">
        <v>29205.4</v>
      </c>
      <c r="I23">
        <v>34839.19</v>
      </c>
      <c r="J23">
        <v>42765</v>
      </c>
      <c r="K23">
        <v>47099</v>
      </c>
    </row>
    <row r="24" spans="1:11" s="6" customFormat="1" x14ac:dyDescent="0.3">
      <c r="A24" s="4" t="s">
        <v>77</v>
      </c>
      <c r="B24">
        <v>7149.38</v>
      </c>
      <c r="C24">
        <v>4610.2</v>
      </c>
      <c r="D24">
        <v>658.39</v>
      </c>
      <c r="E24">
        <v>1708.74</v>
      </c>
      <c r="F24">
        <v>3456.51</v>
      </c>
      <c r="G24">
        <v>-834.51</v>
      </c>
      <c r="H24">
        <v>1228.1199999999999</v>
      </c>
      <c r="I24">
        <v>4908.34</v>
      </c>
      <c r="J24">
        <v>-953</v>
      </c>
      <c r="K24">
        <v>-3429</v>
      </c>
    </row>
    <row r="25" spans="1:11" s="6" customFormat="1" x14ac:dyDescent="0.3">
      <c r="A25" s="6" t="s">
        <v>9</v>
      </c>
      <c r="B25">
        <v>-2669.62</v>
      </c>
      <c r="C25">
        <v>1869.1</v>
      </c>
      <c r="D25">
        <v>5932.73</v>
      </c>
      <c r="E25">
        <v>-26686.25</v>
      </c>
      <c r="F25">
        <v>101.71</v>
      </c>
      <c r="G25">
        <v>-11117.83</v>
      </c>
      <c r="H25">
        <v>2424.0500000000002</v>
      </c>
      <c r="I25">
        <v>6663.97</v>
      </c>
      <c r="J25">
        <v>4792</v>
      </c>
      <c r="K25">
        <v>11774</v>
      </c>
    </row>
    <row r="26" spans="1:11" s="6" customFormat="1" x14ac:dyDescent="0.3">
      <c r="A26" s="6" t="s">
        <v>10</v>
      </c>
      <c r="B26">
        <v>16710.78</v>
      </c>
      <c r="C26">
        <v>17904.990000000002</v>
      </c>
      <c r="D26">
        <v>21553.59</v>
      </c>
      <c r="E26">
        <v>23590.63</v>
      </c>
      <c r="F26">
        <v>21425.43</v>
      </c>
      <c r="G26">
        <v>23546.71</v>
      </c>
      <c r="H26">
        <v>24835.69</v>
      </c>
      <c r="I26">
        <v>24860.36</v>
      </c>
      <c r="J26">
        <v>27239</v>
      </c>
      <c r="K26">
        <v>23256</v>
      </c>
    </row>
    <row r="27" spans="1:11" s="6" customFormat="1" x14ac:dyDescent="0.3">
      <c r="A27" s="6" t="s">
        <v>11</v>
      </c>
      <c r="B27">
        <v>4889.08</v>
      </c>
      <c r="C27">
        <v>4238.01</v>
      </c>
      <c r="D27">
        <v>4681.79</v>
      </c>
      <c r="E27">
        <v>5758.6</v>
      </c>
      <c r="F27">
        <v>7243.33</v>
      </c>
      <c r="G27">
        <v>8097.17</v>
      </c>
      <c r="H27">
        <v>9311.86</v>
      </c>
      <c r="I27">
        <v>10225.48</v>
      </c>
      <c r="J27">
        <v>7594</v>
      </c>
      <c r="K27">
        <v>5083</v>
      </c>
    </row>
    <row r="28" spans="1:11" s="6" customFormat="1" x14ac:dyDescent="0.3">
      <c r="A28" s="6" t="s">
        <v>12</v>
      </c>
      <c r="B28">
        <v>14125.77</v>
      </c>
      <c r="C28">
        <v>9314.7900000000009</v>
      </c>
      <c r="D28">
        <v>11155.03</v>
      </c>
      <c r="E28">
        <v>-31371.15</v>
      </c>
      <c r="F28">
        <v>-10579.98</v>
      </c>
      <c r="G28">
        <v>-10474.280000000001</v>
      </c>
      <c r="H28">
        <v>-7003.41</v>
      </c>
      <c r="I28">
        <v>3393.93</v>
      </c>
      <c r="J28">
        <v>27783</v>
      </c>
      <c r="K28">
        <v>38651</v>
      </c>
    </row>
    <row r="29" spans="1:11" s="6" customFormat="1" x14ac:dyDescent="0.3">
      <c r="A29" s="6" t="s">
        <v>13</v>
      </c>
      <c r="B29">
        <v>3025.05</v>
      </c>
      <c r="C29">
        <v>3251.23</v>
      </c>
      <c r="D29">
        <v>4341.93</v>
      </c>
      <c r="E29">
        <v>-2437.4499999999998</v>
      </c>
      <c r="F29">
        <v>395.25</v>
      </c>
      <c r="G29">
        <v>2541.86</v>
      </c>
      <c r="H29">
        <v>4231.29</v>
      </c>
      <c r="I29">
        <v>704.06</v>
      </c>
      <c r="J29">
        <v>-4024</v>
      </c>
      <c r="K29">
        <v>10502</v>
      </c>
    </row>
    <row r="30" spans="1:11" s="6" customFormat="1" x14ac:dyDescent="0.3">
      <c r="A30" s="6" t="s">
        <v>14</v>
      </c>
      <c r="B30">
        <v>11579.31</v>
      </c>
      <c r="C30">
        <v>7454.36</v>
      </c>
      <c r="D30">
        <v>8988.91</v>
      </c>
      <c r="E30">
        <v>-28826.23</v>
      </c>
      <c r="F30">
        <v>-12070.85</v>
      </c>
      <c r="G30">
        <v>-13451.39</v>
      </c>
      <c r="H30">
        <v>-11441.47</v>
      </c>
      <c r="I30">
        <v>2414.29</v>
      </c>
      <c r="J30">
        <v>31399</v>
      </c>
      <c r="K30">
        <v>27830</v>
      </c>
    </row>
    <row r="31" spans="1:11" s="6" customFormat="1" x14ac:dyDescent="0.3">
      <c r="A31" s="6" t="s">
        <v>61</v>
      </c>
      <c r="B31">
        <v>67.92</v>
      </c>
      <c r="I31">
        <v>766.02</v>
      </c>
      <c r="J31">
        <v>2301</v>
      </c>
      <c r="K31">
        <v>2208</v>
      </c>
    </row>
    <row r="32" spans="1:11" s="6" customFormat="1" x14ac:dyDescent="0.3">
      <c r="A32" s="6" t="s">
        <v>297</v>
      </c>
      <c r="B32" s="6">
        <f>B30+B27+B29+B26</f>
        <v>36204.22</v>
      </c>
      <c r="C32" s="6">
        <f t="shared" ref="C32:K32" si="0">C30+C27+C29+C26</f>
        <v>32848.589999999997</v>
      </c>
      <c r="D32" s="6">
        <f t="shared" si="0"/>
        <v>39566.22</v>
      </c>
      <c r="E32" s="6">
        <f t="shared" si="0"/>
        <v>-1914.4499999999971</v>
      </c>
      <c r="F32" s="6">
        <f t="shared" si="0"/>
        <v>16993.16</v>
      </c>
      <c r="G32" s="6">
        <f t="shared" si="0"/>
        <v>20734.349999999999</v>
      </c>
      <c r="H32" s="6">
        <f t="shared" si="0"/>
        <v>26937.37</v>
      </c>
      <c r="I32" s="6">
        <f t="shared" si="0"/>
        <v>38204.19</v>
      </c>
      <c r="J32" s="6">
        <f t="shared" si="0"/>
        <v>62208</v>
      </c>
      <c r="K32" s="6">
        <f t="shared" si="0"/>
        <v>66671</v>
      </c>
    </row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44926</v>
      </c>
      <c r="C41" s="12">
        <v>45016</v>
      </c>
      <c r="D41" s="12">
        <v>45107</v>
      </c>
      <c r="E41" s="12">
        <v>45199</v>
      </c>
      <c r="F41" s="12">
        <v>45291</v>
      </c>
      <c r="G41" s="12">
        <v>45382</v>
      </c>
      <c r="H41" s="12">
        <v>45473</v>
      </c>
      <c r="I41" s="12">
        <v>45565</v>
      </c>
      <c r="J41" s="12">
        <v>45657</v>
      </c>
      <c r="K41" s="12">
        <v>45747</v>
      </c>
    </row>
    <row r="42" spans="1:11" s="6" customFormat="1" x14ac:dyDescent="0.3">
      <c r="A42" s="6" t="s">
        <v>6</v>
      </c>
      <c r="B42">
        <v>88488.59</v>
      </c>
      <c r="C42">
        <v>105932.35</v>
      </c>
      <c r="D42">
        <v>102236</v>
      </c>
      <c r="E42">
        <v>105129</v>
      </c>
      <c r="F42">
        <v>110577</v>
      </c>
      <c r="G42">
        <v>119033</v>
      </c>
      <c r="H42">
        <v>108048</v>
      </c>
      <c r="I42">
        <v>101450</v>
      </c>
      <c r="J42">
        <v>112608</v>
      </c>
      <c r="K42">
        <v>119503</v>
      </c>
    </row>
    <row r="43" spans="1:11" s="6" customFormat="1" x14ac:dyDescent="0.3">
      <c r="A43" s="6" t="s">
        <v>7</v>
      </c>
      <c r="B43">
        <v>77668.350000000006</v>
      </c>
      <c r="C43">
        <v>92817.95</v>
      </c>
      <c r="D43">
        <v>89019</v>
      </c>
      <c r="E43">
        <v>91362</v>
      </c>
      <c r="F43">
        <v>95159</v>
      </c>
      <c r="G43">
        <v>102348</v>
      </c>
      <c r="H43">
        <v>92263</v>
      </c>
      <c r="I43">
        <v>89291</v>
      </c>
      <c r="J43">
        <v>100185</v>
      </c>
      <c r="K43">
        <v>102685</v>
      </c>
    </row>
    <row r="44" spans="1:11" s="6" customFormat="1" x14ac:dyDescent="0.3">
      <c r="A44" s="6" t="s">
        <v>9</v>
      </c>
      <c r="B44">
        <v>1129.98</v>
      </c>
      <c r="C44">
        <v>1452.86</v>
      </c>
      <c r="D44">
        <v>895</v>
      </c>
      <c r="E44">
        <v>1557</v>
      </c>
      <c r="F44">
        <v>1604</v>
      </c>
      <c r="G44">
        <v>1412</v>
      </c>
      <c r="H44">
        <v>1747</v>
      </c>
      <c r="I44">
        <v>1647</v>
      </c>
      <c r="J44">
        <v>1700</v>
      </c>
      <c r="K44">
        <v>1057</v>
      </c>
    </row>
    <row r="45" spans="1:11" s="6" customFormat="1" x14ac:dyDescent="0.3">
      <c r="A45" s="6" t="s">
        <v>10</v>
      </c>
      <c r="B45">
        <v>6071.78</v>
      </c>
      <c r="C45">
        <v>7050.2</v>
      </c>
      <c r="D45">
        <v>6633</v>
      </c>
      <c r="E45">
        <v>6637</v>
      </c>
      <c r="F45">
        <v>6850</v>
      </c>
      <c r="G45">
        <v>7143</v>
      </c>
      <c r="H45">
        <v>6574</v>
      </c>
      <c r="I45">
        <v>6005</v>
      </c>
      <c r="J45">
        <v>5399</v>
      </c>
      <c r="K45">
        <v>5295</v>
      </c>
    </row>
    <row r="46" spans="1:11" s="6" customFormat="1" x14ac:dyDescent="0.3">
      <c r="A46" s="6" t="s">
        <v>11</v>
      </c>
      <c r="B46">
        <v>2675.83</v>
      </c>
      <c r="C46">
        <v>2641.67</v>
      </c>
      <c r="D46">
        <v>2615</v>
      </c>
      <c r="E46">
        <v>2652</v>
      </c>
      <c r="F46">
        <v>2485</v>
      </c>
      <c r="G46">
        <v>1645</v>
      </c>
      <c r="H46">
        <v>2088</v>
      </c>
      <c r="I46">
        <v>2034</v>
      </c>
      <c r="J46">
        <v>1119</v>
      </c>
      <c r="K46">
        <v>1076</v>
      </c>
    </row>
    <row r="47" spans="1:11" s="6" customFormat="1" x14ac:dyDescent="0.3">
      <c r="A47" s="6" t="s">
        <v>12</v>
      </c>
      <c r="B47">
        <v>3202.61</v>
      </c>
      <c r="C47">
        <v>4875.3900000000003</v>
      </c>
      <c r="D47">
        <v>4864</v>
      </c>
      <c r="E47">
        <v>6035</v>
      </c>
      <c r="F47">
        <v>7687</v>
      </c>
      <c r="G47">
        <v>9309</v>
      </c>
      <c r="H47">
        <v>8870</v>
      </c>
      <c r="I47">
        <v>5767</v>
      </c>
      <c r="J47">
        <v>7605</v>
      </c>
      <c r="K47">
        <v>11504</v>
      </c>
    </row>
    <row r="48" spans="1:11" s="6" customFormat="1" x14ac:dyDescent="0.3">
      <c r="A48" s="6" t="s">
        <v>13</v>
      </c>
      <c r="B48">
        <v>262.83</v>
      </c>
      <c r="C48">
        <v>-620.65</v>
      </c>
      <c r="D48">
        <v>1563</v>
      </c>
      <c r="E48">
        <v>2203</v>
      </c>
      <c r="F48">
        <v>542</v>
      </c>
      <c r="G48">
        <v>-8219</v>
      </c>
      <c r="H48">
        <v>3178</v>
      </c>
      <c r="I48">
        <v>2317</v>
      </c>
      <c r="J48">
        <v>2120</v>
      </c>
      <c r="K48">
        <v>2948</v>
      </c>
    </row>
    <row r="49" spans="1:11" s="6" customFormat="1" x14ac:dyDescent="0.3">
      <c r="A49" s="6" t="s">
        <v>14</v>
      </c>
      <c r="B49">
        <v>2957.71</v>
      </c>
      <c r="C49">
        <v>5407.79</v>
      </c>
      <c r="D49">
        <v>3203</v>
      </c>
      <c r="E49">
        <v>3764</v>
      </c>
      <c r="F49">
        <v>7025</v>
      </c>
      <c r="G49">
        <v>17407</v>
      </c>
      <c r="H49">
        <v>5566</v>
      </c>
      <c r="I49">
        <v>3343</v>
      </c>
      <c r="J49">
        <v>5406</v>
      </c>
      <c r="K49">
        <v>8470</v>
      </c>
    </row>
    <row r="50" spans="1:11" x14ac:dyDescent="0.3">
      <c r="A50" s="6" t="s">
        <v>8</v>
      </c>
      <c r="B50">
        <v>10820.24</v>
      </c>
      <c r="C50">
        <v>13114.4</v>
      </c>
      <c r="D50">
        <v>13217</v>
      </c>
      <c r="E50">
        <v>13767</v>
      </c>
      <c r="F50">
        <v>15418</v>
      </c>
      <c r="G50">
        <v>16685</v>
      </c>
      <c r="H50">
        <v>15785</v>
      </c>
      <c r="I50">
        <v>12159</v>
      </c>
      <c r="J50">
        <v>12423</v>
      </c>
      <c r="K50">
        <v>16818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24</v>
      </c>
      <c r="B57">
        <v>679.18</v>
      </c>
      <c r="C57">
        <v>679.22</v>
      </c>
      <c r="D57">
        <v>679.22</v>
      </c>
      <c r="E57">
        <v>679.22</v>
      </c>
      <c r="F57">
        <v>719.54</v>
      </c>
      <c r="G57">
        <v>765.81</v>
      </c>
      <c r="H57">
        <v>765.88</v>
      </c>
      <c r="I57">
        <v>766.02</v>
      </c>
      <c r="J57">
        <v>767</v>
      </c>
      <c r="K57">
        <v>736</v>
      </c>
    </row>
    <row r="58" spans="1:11" x14ac:dyDescent="0.3">
      <c r="A58" s="6" t="s">
        <v>25</v>
      </c>
      <c r="B58">
        <v>78273.23</v>
      </c>
      <c r="C58">
        <v>57382.67</v>
      </c>
      <c r="D58">
        <v>94748.69</v>
      </c>
      <c r="E58">
        <v>59500.34</v>
      </c>
      <c r="F58">
        <v>62358.99</v>
      </c>
      <c r="G58">
        <v>54480.91</v>
      </c>
      <c r="H58">
        <v>43795.360000000001</v>
      </c>
      <c r="I58">
        <v>44555.77</v>
      </c>
      <c r="J58">
        <v>84151</v>
      </c>
      <c r="K58">
        <v>115408</v>
      </c>
    </row>
    <row r="59" spans="1:11" x14ac:dyDescent="0.3">
      <c r="A59" s="6" t="s">
        <v>62</v>
      </c>
      <c r="B59">
        <v>69359.960000000006</v>
      </c>
      <c r="C59">
        <v>78603.98</v>
      </c>
      <c r="D59">
        <v>88950.47</v>
      </c>
      <c r="E59">
        <v>106175.34</v>
      </c>
      <c r="F59">
        <v>124787.64</v>
      </c>
      <c r="G59">
        <v>142130.57</v>
      </c>
      <c r="H59">
        <v>146449.03</v>
      </c>
      <c r="I59">
        <v>134113.44</v>
      </c>
      <c r="J59">
        <v>107264</v>
      </c>
      <c r="K59">
        <v>71540</v>
      </c>
    </row>
    <row r="60" spans="1:11" x14ac:dyDescent="0.3">
      <c r="A60" s="6" t="s">
        <v>63</v>
      </c>
      <c r="B60">
        <v>114871.75</v>
      </c>
      <c r="C60">
        <v>135914.49</v>
      </c>
      <c r="D60">
        <v>142813.43</v>
      </c>
      <c r="E60">
        <v>139348.59</v>
      </c>
      <c r="F60">
        <v>132313.22</v>
      </c>
      <c r="G60">
        <v>144192.62</v>
      </c>
      <c r="H60">
        <v>138051.22</v>
      </c>
      <c r="I60">
        <v>155239.20000000001</v>
      </c>
      <c r="J60">
        <v>177339</v>
      </c>
      <c r="K60">
        <v>189289</v>
      </c>
    </row>
    <row r="61" spans="1:11" s="1" customFormat="1" x14ac:dyDescent="0.3">
      <c r="A61" s="1" t="s">
        <v>26</v>
      </c>
      <c r="B61">
        <v>263184.12</v>
      </c>
      <c r="C61">
        <v>272580.36</v>
      </c>
      <c r="D61">
        <v>327191.81</v>
      </c>
      <c r="E61">
        <v>305703.49</v>
      </c>
      <c r="F61">
        <v>320179.39</v>
      </c>
      <c r="G61">
        <v>341569.91</v>
      </c>
      <c r="H61">
        <v>329061.49</v>
      </c>
      <c r="I61">
        <v>334674.43</v>
      </c>
      <c r="J61">
        <v>369521</v>
      </c>
      <c r="K61">
        <v>376973</v>
      </c>
    </row>
    <row r="62" spans="1:11" x14ac:dyDescent="0.3">
      <c r="A62" s="6" t="s">
        <v>27</v>
      </c>
      <c r="B62">
        <v>107231.76</v>
      </c>
      <c r="C62">
        <v>95944.08</v>
      </c>
      <c r="D62">
        <v>121413.86</v>
      </c>
      <c r="E62">
        <v>111234.47</v>
      </c>
      <c r="F62">
        <v>127107.14</v>
      </c>
      <c r="G62">
        <v>138707.60999999999</v>
      </c>
      <c r="H62">
        <v>138855.45000000001</v>
      </c>
      <c r="I62">
        <v>132079.76</v>
      </c>
      <c r="J62">
        <v>121285</v>
      </c>
      <c r="K62">
        <v>115697</v>
      </c>
    </row>
    <row r="63" spans="1:11" x14ac:dyDescent="0.3">
      <c r="A63" s="6" t="s">
        <v>28</v>
      </c>
      <c r="B63">
        <v>25918.94</v>
      </c>
      <c r="C63">
        <v>33698.839999999997</v>
      </c>
      <c r="D63">
        <v>40033.5</v>
      </c>
      <c r="E63">
        <v>31883.84</v>
      </c>
      <c r="F63">
        <v>35622.29</v>
      </c>
      <c r="G63">
        <v>20963.93</v>
      </c>
      <c r="H63">
        <v>10251.09</v>
      </c>
      <c r="I63">
        <v>14274.5</v>
      </c>
      <c r="J63">
        <v>35698</v>
      </c>
      <c r="K63">
        <v>65806</v>
      </c>
    </row>
    <row r="64" spans="1:11" x14ac:dyDescent="0.3">
      <c r="A64" s="6" t="s">
        <v>29</v>
      </c>
      <c r="B64">
        <v>23767.02</v>
      </c>
      <c r="C64">
        <v>20337.919999999998</v>
      </c>
      <c r="D64">
        <v>20812.75</v>
      </c>
      <c r="E64">
        <v>15770.72</v>
      </c>
      <c r="F64">
        <v>16308.48</v>
      </c>
      <c r="G64">
        <v>24620.28</v>
      </c>
      <c r="H64">
        <v>29379.53</v>
      </c>
      <c r="I64">
        <v>26379.16</v>
      </c>
      <c r="J64">
        <v>22971</v>
      </c>
      <c r="K64">
        <v>35656</v>
      </c>
    </row>
    <row r="65" spans="1:11" x14ac:dyDescent="0.3">
      <c r="A65" s="6" t="s">
        <v>64</v>
      </c>
      <c r="B65">
        <v>106266.4</v>
      </c>
      <c r="C65">
        <v>122599.52</v>
      </c>
      <c r="D65">
        <v>144931.70000000001</v>
      </c>
      <c r="E65">
        <v>146814.46</v>
      </c>
      <c r="F65">
        <v>141141.48000000001</v>
      </c>
      <c r="G65">
        <v>157278.09</v>
      </c>
      <c r="H65">
        <v>150575.42000000001</v>
      </c>
      <c r="I65">
        <v>161941.01</v>
      </c>
      <c r="J65">
        <v>189567</v>
      </c>
      <c r="K65">
        <v>159814</v>
      </c>
    </row>
    <row r="66" spans="1:11" s="1" customFormat="1" x14ac:dyDescent="0.3">
      <c r="A66" s="1" t="s">
        <v>26</v>
      </c>
      <c r="B66">
        <v>263184.12</v>
      </c>
      <c r="C66">
        <v>272580.36</v>
      </c>
      <c r="D66">
        <v>327191.81</v>
      </c>
      <c r="E66">
        <v>305703.49</v>
      </c>
      <c r="F66">
        <v>320179.39</v>
      </c>
      <c r="G66">
        <v>341569.91</v>
      </c>
      <c r="H66">
        <v>329061.49</v>
      </c>
      <c r="I66">
        <v>334674.43</v>
      </c>
      <c r="J66">
        <v>369521</v>
      </c>
      <c r="K66">
        <v>376973</v>
      </c>
    </row>
    <row r="67" spans="1:11" s="6" customFormat="1" x14ac:dyDescent="0.3">
      <c r="A67" s="6" t="s">
        <v>69</v>
      </c>
      <c r="B67">
        <v>13570.91</v>
      </c>
      <c r="C67">
        <v>14075.55</v>
      </c>
      <c r="D67">
        <v>19893.3</v>
      </c>
      <c r="E67">
        <v>18996.169999999998</v>
      </c>
      <c r="F67">
        <v>11172.69</v>
      </c>
      <c r="G67">
        <v>12679.08</v>
      </c>
      <c r="H67">
        <v>12442.12</v>
      </c>
      <c r="I67">
        <v>15737.97</v>
      </c>
      <c r="J67">
        <v>16952</v>
      </c>
      <c r="K67">
        <v>13248</v>
      </c>
    </row>
    <row r="68" spans="1:11" x14ac:dyDescent="0.3">
      <c r="A68" s="6" t="s">
        <v>45</v>
      </c>
      <c r="B68">
        <v>32655.73</v>
      </c>
      <c r="C68">
        <v>35085.31</v>
      </c>
      <c r="D68">
        <v>42137.63</v>
      </c>
      <c r="E68">
        <v>39013.730000000003</v>
      </c>
      <c r="F68">
        <v>37456.879999999997</v>
      </c>
      <c r="G68">
        <v>36088.589999999997</v>
      </c>
      <c r="H68">
        <v>35240.339999999997</v>
      </c>
      <c r="I68">
        <v>40755.39</v>
      </c>
      <c r="J68">
        <v>47788</v>
      </c>
      <c r="K68">
        <v>47269</v>
      </c>
    </row>
    <row r="69" spans="1:11" x14ac:dyDescent="0.3">
      <c r="A69" s="4" t="s">
        <v>78</v>
      </c>
      <c r="B69">
        <v>30460.400000000001</v>
      </c>
      <c r="C69">
        <v>36077.879999999997</v>
      </c>
      <c r="D69">
        <v>34613.910000000003</v>
      </c>
      <c r="E69">
        <v>32648.82</v>
      </c>
      <c r="F69">
        <v>33726.97</v>
      </c>
      <c r="G69">
        <v>46792.46</v>
      </c>
      <c r="H69">
        <v>40669.19</v>
      </c>
      <c r="I69">
        <v>37015.56</v>
      </c>
      <c r="J69">
        <v>45807</v>
      </c>
      <c r="K69">
        <v>40834</v>
      </c>
    </row>
    <row r="70" spans="1:11" x14ac:dyDescent="0.3">
      <c r="A70" s="4" t="s">
        <v>65</v>
      </c>
      <c r="B70">
        <v>3395930306</v>
      </c>
      <c r="C70">
        <v>3396100719</v>
      </c>
      <c r="D70">
        <v>3396100719</v>
      </c>
      <c r="E70">
        <v>3396100719</v>
      </c>
      <c r="F70">
        <v>3597726185</v>
      </c>
      <c r="G70">
        <v>3829060661</v>
      </c>
      <c r="H70">
        <v>3829414903</v>
      </c>
      <c r="I70">
        <v>3830097221</v>
      </c>
      <c r="J70">
        <v>3832491897</v>
      </c>
      <c r="K70">
        <v>3681348742</v>
      </c>
    </row>
    <row r="71" spans="1:11" x14ac:dyDescent="0.3">
      <c r="A71" s="4" t="s">
        <v>66</v>
      </c>
    </row>
    <row r="72" spans="1:11" x14ac:dyDescent="0.3">
      <c r="A72" s="4" t="s">
        <v>79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3">
      <c r="A74" s="6"/>
    </row>
    <row r="75" spans="1:11" x14ac:dyDescent="0.3">
      <c r="A75" s="6" t="s">
        <v>113</v>
      </c>
      <c r="B75" s="4">
        <f>B66</f>
        <v>263184.12</v>
      </c>
      <c r="C75" s="4">
        <f t="shared" ref="C75:K75" si="1">C66</f>
        <v>272580.36</v>
      </c>
      <c r="D75" s="4">
        <f t="shared" si="1"/>
        <v>327191.81</v>
      </c>
      <c r="E75" s="4">
        <f t="shared" si="1"/>
        <v>305703.49</v>
      </c>
      <c r="F75" s="4">
        <f t="shared" si="1"/>
        <v>320179.39</v>
      </c>
      <c r="G75" s="4">
        <f t="shared" si="1"/>
        <v>341569.91</v>
      </c>
      <c r="H75" s="4">
        <f t="shared" si="1"/>
        <v>329061.49</v>
      </c>
      <c r="I75" s="4">
        <f t="shared" si="1"/>
        <v>334674.43</v>
      </c>
      <c r="J75" s="4">
        <f t="shared" si="1"/>
        <v>369521</v>
      </c>
      <c r="K75" s="4">
        <f t="shared" si="1"/>
        <v>376973</v>
      </c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32</v>
      </c>
      <c r="B82">
        <v>37899.54</v>
      </c>
      <c r="C82">
        <v>30199.25</v>
      </c>
      <c r="D82">
        <v>23857.42</v>
      </c>
      <c r="E82">
        <v>18890.75</v>
      </c>
      <c r="F82">
        <v>26632.94</v>
      </c>
      <c r="G82">
        <v>29000.51</v>
      </c>
      <c r="H82">
        <v>14282.83</v>
      </c>
      <c r="I82">
        <v>35388.01</v>
      </c>
      <c r="J82">
        <v>67915</v>
      </c>
      <c r="K82">
        <v>63102</v>
      </c>
    </row>
    <row r="83" spans="1:11" s="6" customFormat="1" x14ac:dyDescent="0.3">
      <c r="A83" s="6" t="s">
        <v>33</v>
      </c>
      <c r="B83">
        <v>-36693.9</v>
      </c>
      <c r="C83">
        <v>-39571.4</v>
      </c>
      <c r="D83">
        <v>-25139.14</v>
      </c>
      <c r="E83">
        <v>-20878.07</v>
      </c>
      <c r="F83">
        <v>-33114.550000000003</v>
      </c>
      <c r="G83">
        <v>-25672.5</v>
      </c>
      <c r="H83">
        <v>-4443.66</v>
      </c>
      <c r="I83">
        <v>-15417.17</v>
      </c>
      <c r="J83">
        <v>-22781</v>
      </c>
      <c r="K83">
        <v>-49982</v>
      </c>
    </row>
    <row r="84" spans="1:11" s="6" customFormat="1" x14ac:dyDescent="0.3">
      <c r="A84" s="6" t="s">
        <v>34</v>
      </c>
      <c r="B84">
        <v>-3795.12</v>
      </c>
      <c r="C84">
        <v>6205.3</v>
      </c>
      <c r="D84">
        <v>2011.71</v>
      </c>
      <c r="E84">
        <v>8830.3700000000008</v>
      </c>
      <c r="F84">
        <v>3389.61</v>
      </c>
      <c r="G84">
        <v>9904.2000000000007</v>
      </c>
      <c r="H84">
        <v>-3380.17</v>
      </c>
      <c r="I84">
        <v>-26242.9</v>
      </c>
      <c r="J84">
        <v>-37006</v>
      </c>
      <c r="K84">
        <v>-18786</v>
      </c>
    </row>
    <row r="85" spans="1:11" s="1" customFormat="1" x14ac:dyDescent="0.3">
      <c r="A85" s="6" t="s">
        <v>35</v>
      </c>
      <c r="B85">
        <v>-2589.48</v>
      </c>
      <c r="C85">
        <v>-3166.85</v>
      </c>
      <c r="D85">
        <v>729.99</v>
      </c>
      <c r="E85">
        <v>6843.05</v>
      </c>
      <c r="F85">
        <v>-3092</v>
      </c>
      <c r="G85">
        <v>13232.21</v>
      </c>
      <c r="H85">
        <v>6459</v>
      </c>
      <c r="I85">
        <v>-6272.06</v>
      </c>
      <c r="J85">
        <v>8128</v>
      </c>
      <c r="K85">
        <v>-5666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68</v>
      </c>
      <c r="B90">
        <v>386.6</v>
      </c>
      <c r="C90">
        <v>465.85</v>
      </c>
      <c r="D90">
        <v>326.85000000000002</v>
      </c>
      <c r="E90">
        <v>174.25</v>
      </c>
      <c r="F90">
        <v>71.05</v>
      </c>
      <c r="G90">
        <v>301.8</v>
      </c>
      <c r="H90">
        <v>433.75</v>
      </c>
      <c r="I90">
        <v>420.8</v>
      </c>
      <c r="J90">
        <v>992.8</v>
      </c>
      <c r="K90">
        <v>674.45</v>
      </c>
    </row>
    <row r="92" spans="1:11" s="1" customFormat="1" x14ac:dyDescent="0.3">
      <c r="A92" s="1" t="s">
        <v>67</v>
      </c>
    </row>
    <row r="93" spans="1:11" x14ac:dyDescent="0.3">
      <c r="A93" s="4" t="s">
        <v>80</v>
      </c>
      <c r="B93" s="20">
        <v>288.72000000000003</v>
      </c>
      <c r="C93" s="20">
        <v>288.73</v>
      </c>
      <c r="D93" s="20">
        <v>288.73</v>
      </c>
      <c r="E93" s="20">
        <v>288.73</v>
      </c>
      <c r="F93" s="20">
        <v>308.89999999999998</v>
      </c>
      <c r="G93" s="20">
        <v>332.03</v>
      </c>
      <c r="H93" s="20">
        <v>332.07</v>
      </c>
      <c r="I93" s="20">
        <v>332.13</v>
      </c>
      <c r="J93" s="20">
        <v>332.37</v>
      </c>
      <c r="K93" s="20">
        <v>368.13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0A78C-6594-4D82-B614-75BE7C059514}">
  <dimension ref="A2:O108"/>
  <sheetViews>
    <sheetView showGridLines="0" zoomScale="95" zoomScaleNormal="100" workbookViewId="0">
      <pane ySplit="3" topLeftCell="A4" activePane="bottomLeft" state="frozen"/>
      <selection pane="bottomLeft" activeCell="P80" sqref="P80"/>
    </sheetView>
  </sheetViews>
  <sheetFormatPr defaultRowHeight="14.4" x14ac:dyDescent="0.3"/>
  <cols>
    <col min="1" max="1" width="1.88671875" customWidth="1"/>
    <col min="2" max="2" width="31.33203125" bestFit="1" customWidth="1"/>
    <col min="3" max="12" width="11.5546875" bestFit="1" customWidth="1"/>
    <col min="13" max="13" width="11.44140625" bestFit="1" customWidth="1"/>
    <col min="15" max="15" width="10.6640625" bestFit="1" customWidth="1"/>
  </cols>
  <sheetData>
    <row r="2" spans="1:15" x14ac:dyDescent="0.3">
      <c r="B2" s="173" t="str">
        <f>"Historial Financial Statement - "&amp;'Data Sheet'!B1</f>
        <v>Historial Financial Statement - TATA MOTORS LTD</v>
      </c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</row>
    <row r="3" spans="1:15" x14ac:dyDescent="0.3">
      <c r="B3" s="154" t="s">
        <v>81</v>
      </c>
      <c r="C3" s="165">
        <f>'Data Sheet'!B16</f>
        <v>42460</v>
      </c>
      <c r="D3" s="165">
        <f>'Data Sheet'!C16</f>
        <v>42825</v>
      </c>
      <c r="E3" s="165">
        <f>'Data Sheet'!D16</f>
        <v>43190</v>
      </c>
      <c r="F3" s="165">
        <f>'Data Sheet'!E16</f>
        <v>43555</v>
      </c>
      <c r="G3" s="165">
        <f>'Data Sheet'!F16</f>
        <v>43921</v>
      </c>
      <c r="H3" s="165">
        <f>'Data Sheet'!G16</f>
        <v>44286</v>
      </c>
      <c r="I3" s="165">
        <f>'Data Sheet'!H16</f>
        <v>44651</v>
      </c>
      <c r="J3" s="165">
        <f>'Data Sheet'!I16</f>
        <v>45016</v>
      </c>
      <c r="K3" s="165">
        <f>'Data Sheet'!J16</f>
        <v>45382</v>
      </c>
      <c r="L3" s="165">
        <f>'Data Sheet'!K16</f>
        <v>45747</v>
      </c>
      <c r="M3" s="166" t="s">
        <v>82</v>
      </c>
    </row>
    <row r="4" spans="1:15" x14ac:dyDescent="0.3">
      <c r="A4" t="s">
        <v>83</v>
      </c>
      <c r="B4" t="s">
        <v>84</v>
      </c>
    </row>
    <row r="5" spans="1:15" x14ac:dyDescent="0.3">
      <c r="B5" t="s">
        <v>6</v>
      </c>
      <c r="C5" s="24">
        <f>IFERROR('Data Sheet'!B17,0)</f>
        <v>273045.59999999998</v>
      </c>
      <c r="D5" s="24">
        <f>IFERROR('Data Sheet'!C17,0)</f>
        <v>269692.51</v>
      </c>
      <c r="E5" s="24">
        <f>IFERROR('Data Sheet'!D17,0)</f>
        <v>291550.48</v>
      </c>
      <c r="F5" s="24">
        <f>IFERROR('Data Sheet'!E17,0)</f>
        <v>301938.40000000002</v>
      </c>
      <c r="G5" s="24">
        <f>IFERROR('Data Sheet'!F17,0)</f>
        <v>261067.97</v>
      </c>
      <c r="H5" s="24">
        <f>IFERROR('Data Sheet'!G17,0)</f>
        <v>249794.75</v>
      </c>
      <c r="I5" s="24">
        <f>IFERROR('Data Sheet'!H17,0)</f>
        <v>278453.62</v>
      </c>
      <c r="J5" s="24">
        <f>IFERROR('Data Sheet'!I17,0)</f>
        <v>345966.97</v>
      </c>
      <c r="K5" s="24">
        <f>IFERROR('Data Sheet'!J17,0)</f>
        <v>434016</v>
      </c>
      <c r="L5" s="24">
        <f>IFERROR('Data Sheet'!K17,0)</f>
        <v>439695</v>
      </c>
      <c r="M5" s="24">
        <f>IFERROR(SUM('Data Sheet'!H42:K42),0)</f>
        <v>441609</v>
      </c>
    </row>
    <row r="6" spans="1:15" x14ac:dyDescent="0.3">
      <c r="B6" s="141" t="s">
        <v>22</v>
      </c>
      <c r="C6" s="141" t="s">
        <v>92</v>
      </c>
      <c r="D6" s="142">
        <f>D5/C5-1</f>
        <v>-1.2280329732469508E-2</v>
      </c>
      <c r="E6" s="142">
        <f t="shared" ref="E6:M6" si="0">E5/D5-1</f>
        <v>8.104774581985974E-2</v>
      </c>
      <c r="F6" s="142">
        <f t="shared" si="0"/>
        <v>3.5629919045237157E-2</v>
      </c>
      <c r="G6" s="142">
        <f t="shared" si="0"/>
        <v>-0.135360159555724</v>
      </c>
      <c r="H6" s="142">
        <f t="shared" si="0"/>
        <v>-4.3181168490336042E-2</v>
      </c>
      <c r="I6" s="142">
        <f t="shared" si="0"/>
        <v>0.11472967306158344</v>
      </c>
      <c r="J6" s="142">
        <f t="shared" si="0"/>
        <v>0.24245815155859707</v>
      </c>
      <c r="K6" s="142">
        <f t="shared" si="0"/>
        <v>0.25450126062612277</v>
      </c>
      <c r="L6" s="142">
        <f t="shared" si="0"/>
        <v>1.3084771068347711E-2</v>
      </c>
      <c r="M6" s="142">
        <f t="shared" si="0"/>
        <v>4.3530174325385751E-3</v>
      </c>
    </row>
    <row r="8" spans="1:15" x14ac:dyDescent="0.3">
      <c r="B8" t="s">
        <v>85</v>
      </c>
      <c r="C8" s="143">
        <f>IFERROR(SUM('Data Sheet'!B18,'Data Sheet'!B20:B22)-1*'Data Sheet'!B19,0)</f>
        <v>205509.07</v>
      </c>
      <c r="D8" s="143">
        <f>IFERROR(SUM('Data Sheet'!C18,'Data Sheet'!C20:C22)-1*'Data Sheet'!C19,0)</f>
        <v>205454.23999999996</v>
      </c>
      <c r="E8" s="143">
        <f>IFERROR(SUM('Data Sheet'!D18,'Data Sheet'!D20:D22)-1*'Data Sheet'!D19,0)</f>
        <v>228429.83</v>
      </c>
      <c r="F8" s="143">
        <f>IFERROR(SUM('Data Sheet'!E18,'Data Sheet'!E20:E22)-1*'Data Sheet'!E19,0)</f>
        <v>242845.53</v>
      </c>
      <c r="G8" s="143">
        <f>IFERROR(SUM('Data Sheet'!F18,'Data Sheet'!F20:F22)-1*'Data Sheet'!F19,0)</f>
        <v>210376.07000000004</v>
      </c>
      <c r="H8" s="143">
        <f>IFERROR(SUM('Data Sheet'!G18,'Data Sheet'!G20:G22)-1*'Data Sheet'!G19,0)</f>
        <v>195326.04</v>
      </c>
      <c r="I8" s="143">
        <f>IFERROR(SUM('Data Sheet'!H18,'Data Sheet'!H20:H22)-1*'Data Sheet'!H19,0)</f>
        <v>223300.00999999998</v>
      </c>
      <c r="J8" s="143">
        <f>IFERROR(SUM('Data Sheet'!I18,'Data Sheet'!I20:I22)-1*'Data Sheet'!I19,0)</f>
        <v>274403.64</v>
      </c>
      <c r="K8" s="143">
        <f>IFERROR(SUM('Data Sheet'!J18,'Data Sheet'!J20:J22)-1*'Data Sheet'!J19,0)</f>
        <v>334380</v>
      </c>
      <c r="L8" s="143">
        <f>IFERROR(SUM('Data Sheet'!K18,'Data Sheet'!K20:K22)-1*'Data Sheet'!K19,0)</f>
        <v>340809</v>
      </c>
      <c r="M8" s="143">
        <f>IFERROR(SUM(Quarters!H5:K5),0)</f>
        <v>384424</v>
      </c>
    </row>
    <row r="9" spans="1:15" x14ac:dyDescent="0.3">
      <c r="B9" s="141" t="s">
        <v>86</v>
      </c>
      <c r="C9" s="142">
        <f>C8/C5</f>
        <v>0.75265475803309057</v>
      </c>
      <c r="D9" s="142">
        <f t="shared" ref="D9:M9" si="1">D8/D5</f>
        <v>0.76180921746770036</v>
      </c>
      <c r="E9" s="142">
        <f t="shared" si="1"/>
        <v>0.78350009919380004</v>
      </c>
      <c r="F9" s="142">
        <f t="shared" si="1"/>
        <v>0.80428832503583503</v>
      </c>
      <c r="G9" s="142">
        <f t="shared" si="1"/>
        <v>0.80582872728508226</v>
      </c>
      <c r="H9" s="142">
        <f t="shared" si="1"/>
        <v>0.7819461377791167</v>
      </c>
      <c r="I9" s="142">
        <f t="shared" si="1"/>
        <v>0.80192891728252624</v>
      </c>
      <c r="J9" s="142">
        <f t="shared" si="1"/>
        <v>0.79314982005363122</v>
      </c>
      <c r="K9" s="142">
        <f t="shared" si="1"/>
        <v>0.7704324264543243</v>
      </c>
      <c r="L9" s="142">
        <f t="shared" si="1"/>
        <v>0.77510319653396109</v>
      </c>
      <c r="M9" s="142">
        <f t="shared" si="1"/>
        <v>0.87050762099504309</v>
      </c>
    </row>
    <row r="10" spans="1:15" x14ac:dyDescent="0.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O10" s="24"/>
    </row>
    <row r="11" spans="1:15" x14ac:dyDescent="0.3">
      <c r="B11" s="2" t="s">
        <v>87</v>
      </c>
      <c r="C11" s="144">
        <f t="shared" ref="C11:M11" si="2">C5-C8</f>
        <v>67536.52999999997</v>
      </c>
      <c r="D11" s="144">
        <f t="shared" si="2"/>
        <v>64238.270000000048</v>
      </c>
      <c r="E11" s="144">
        <f t="shared" si="2"/>
        <v>63120.649999999994</v>
      </c>
      <c r="F11" s="144">
        <f t="shared" si="2"/>
        <v>59092.870000000024</v>
      </c>
      <c r="G11" s="144">
        <f t="shared" si="2"/>
        <v>50691.899999999965</v>
      </c>
      <c r="H11" s="144">
        <f t="shared" si="2"/>
        <v>54468.709999999992</v>
      </c>
      <c r="I11" s="144">
        <f t="shared" si="2"/>
        <v>55153.610000000015</v>
      </c>
      <c r="J11" s="144">
        <f t="shared" si="2"/>
        <v>71563.329999999958</v>
      </c>
      <c r="K11" s="144">
        <f t="shared" si="2"/>
        <v>99636</v>
      </c>
      <c r="L11" s="144">
        <f t="shared" si="2"/>
        <v>98886</v>
      </c>
      <c r="M11" s="144">
        <f t="shared" si="2"/>
        <v>57185</v>
      </c>
    </row>
    <row r="12" spans="1:15" x14ac:dyDescent="0.3">
      <c r="B12" s="141" t="s">
        <v>99</v>
      </c>
      <c r="C12" s="5">
        <f>C11/C5</f>
        <v>0.24734524196690946</v>
      </c>
      <c r="D12" s="5">
        <f t="shared" ref="D12:M12" si="3">D11/D5</f>
        <v>0.23819078253229964</v>
      </c>
      <c r="E12" s="5">
        <f t="shared" si="3"/>
        <v>0.21649990080619999</v>
      </c>
      <c r="F12" s="5">
        <f t="shared" si="3"/>
        <v>0.19571167496416494</v>
      </c>
      <c r="G12" s="5">
        <f t="shared" si="3"/>
        <v>0.19417127271491774</v>
      </c>
      <c r="H12" s="5">
        <f t="shared" si="3"/>
        <v>0.2180538622208833</v>
      </c>
      <c r="I12" s="5">
        <f t="shared" si="3"/>
        <v>0.19807108271747378</v>
      </c>
      <c r="J12" s="5">
        <f t="shared" si="3"/>
        <v>0.20685017994636876</v>
      </c>
      <c r="K12" s="5">
        <f t="shared" si="3"/>
        <v>0.22956757354567572</v>
      </c>
      <c r="L12" s="5">
        <f t="shared" si="3"/>
        <v>0.22489680346603896</v>
      </c>
      <c r="M12" s="5">
        <f t="shared" si="3"/>
        <v>0.12949237900495689</v>
      </c>
    </row>
    <row r="14" spans="1:15" x14ac:dyDescent="0.3">
      <c r="B14" t="s">
        <v>88</v>
      </c>
      <c r="C14">
        <f>IFERROR(SUM('Data Sheet'!B23:B24),0)</f>
        <v>29141.280000000002</v>
      </c>
      <c r="D14">
        <f>IFERROR(SUM('Data Sheet'!C23:C24),0)</f>
        <v>34649.58</v>
      </c>
      <c r="E14">
        <f>IFERROR(SUM('Data Sheet'!D23:D24),0)</f>
        <v>31662.97</v>
      </c>
      <c r="F14">
        <f>IFERROR(SUM('Data Sheet'!E23:E24),0)</f>
        <v>34428.54</v>
      </c>
      <c r="G14">
        <f>IFERROR(SUM('Data Sheet'!F23:F24),0)</f>
        <v>32704.83</v>
      </c>
      <c r="H14">
        <f>IFERROR(SUM('Data Sheet'!G23:G24),0)</f>
        <v>22181.280000000002</v>
      </c>
      <c r="I14">
        <f>IFERROR(SUM('Data Sheet'!H23:H24),0)</f>
        <v>30433.52</v>
      </c>
      <c r="J14">
        <f>IFERROR(SUM('Data Sheet'!I23:I24),0)</f>
        <v>39747.53</v>
      </c>
      <c r="K14">
        <f>IFERROR(SUM('Data Sheet'!J23:J24),0)</f>
        <v>41812</v>
      </c>
      <c r="L14">
        <f>IFERROR(SUM('Data Sheet'!K23:K24),0)</f>
        <v>43670</v>
      </c>
    </row>
    <row r="15" spans="1:15" x14ac:dyDescent="0.3">
      <c r="B15" s="141" t="s">
        <v>89</v>
      </c>
      <c r="C15" s="142">
        <f t="shared" ref="C15:M15" si="4">C14/C5</f>
        <v>0.10672678849247161</v>
      </c>
      <c r="D15" s="142">
        <f t="shared" si="4"/>
        <v>0.12847809529452636</v>
      </c>
      <c r="E15" s="142">
        <f t="shared" si="4"/>
        <v>0.10860201636437025</v>
      </c>
      <c r="F15" s="142">
        <f t="shared" si="4"/>
        <v>0.11402504616835751</v>
      </c>
      <c r="G15" s="142">
        <f t="shared" si="4"/>
        <v>0.12527323822987554</v>
      </c>
      <c r="H15" s="142">
        <f t="shared" si="4"/>
        <v>8.8798023177028354E-2</v>
      </c>
      <c r="I15" s="142">
        <f t="shared" si="4"/>
        <v>0.10929475436519734</v>
      </c>
      <c r="J15" s="142">
        <f t="shared" si="4"/>
        <v>0.11488822184383672</v>
      </c>
      <c r="K15" s="142">
        <f t="shared" si="4"/>
        <v>9.6337462213374622E-2</v>
      </c>
      <c r="L15" s="142">
        <f t="shared" si="4"/>
        <v>9.9318846018262658E-2</v>
      </c>
      <c r="M15" s="142">
        <f t="shared" si="4"/>
        <v>0</v>
      </c>
    </row>
    <row r="17" spans="2:15" x14ac:dyDescent="0.3">
      <c r="B17" s="2" t="s">
        <v>90</v>
      </c>
      <c r="C17" s="144">
        <f>C11-C14</f>
        <v>38395.249999999971</v>
      </c>
      <c r="D17" s="144">
        <f t="shared" ref="D17:M17" si="5">D11-D14</f>
        <v>29588.690000000046</v>
      </c>
      <c r="E17" s="144">
        <f t="shared" si="5"/>
        <v>31457.679999999993</v>
      </c>
      <c r="F17" s="144">
        <f t="shared" si="5"/>
        <v>24664.330000000024</v>
      </c>
      <c r="G17" s="144">
        <f t="shared" si="5"/>
        <v>17987.069999999963</v>
      </c>
      <c r="H17" s="144">
        <f t="shared" si="5"/>
        <v>32287.429999999989</v>
      </c>
      <c r="I17" s="144">
        <f t="shared" si="5"/>
        <v>24720.090000000015</v>
      </c>
      <c r="J17" s="144">
        <f t="shared" si="5"/>
        <v>31815.799999999959</v>
      </c>
      <c r="K17" s="144">
        <f t="shared" si="5"/>
        <v>57824</v>
      </c>
      <c r="L17" s="144">
        <f t="shared" si="5"/>
        <v>55216</v>
      </c>
      <c r="M17" s="144">
        <f t="shared" si="5"/>
        <v>57185</v>
      </c>
    </row>
    <row r="18" spans="2:15" x14ac:dyDescent="0.3">
      <c r="B18" s="141" t="s">
        <v>91</v>
      </c>
      <c r="C18" s="142">
        <f t="shared" ref="C18:M18" si="6">C17/C5</f>
        <v>0.14061845347443788</v>
      </c>
      <c r="D18" s="142">
        <f t="shared" si="6"/>
        <v>0.10971268723777329</v>
      </c>
      <c r="E18" s="142">
        <f t="shared" si="6"/>
        <v>0.10789788444182975</v>
      </c>
      <c r="F18" s="142">
        <f t="shared" si="6"/>
        <v>8.1686628795807431E-2</v>
      </c>
      <c r="G18" s="142">
        <f t="shared" si="6"/>
        <v>6.8898034485042198E-2</v>
      </c>
      <c r="H18" s="142">
        <f t="shared" si="6"/>
        <v>0.12925583904385496</v>
      </c>
      <c r="I18" s="142">
        <f t="shared" si="6"/>
        <v>8.877632835227646E-2</v>
      </c>
      <c r="J18" s="142">
        <f t="shared" si="6"/>
        <v>9.1961958102532049E-2</v>
      </c>
      <c r="K18" s="142">
        <f t="shared" si="6"/>
        <v>0.13323011133230112</v>
      </c>
      <c r="L18" s="142">
        <f t="shared" si="6"/>
        <v>0.12557795744777631</v>
      </c>
      <c r="M18" s="142">
        <f t="shared" si="6"/>
        <v>0.12949237900495689</v>
      </c>
    </row>
    <row r="20" spans="2:15" x14ac:dyDescent="0.3">
      <c r="B20" t="s">
        <v>11</v>
      </c>
      <c r="C20" s="24">
        <v>4889.08</v>
      </c>
      <c r="D20" s="24">
        <v>4238.01</v>
      </c>
      <c r="E20" s="24">
        <v>4681.79</v>
      </c>
      <c r="F20" s="24">
        <v>5758.6</v>
      </c>
      <c r="G20" s="24">
        <v>7243.33</v>
      </c>
      <c r="H20" s="24">
        <v>8097.17</v>
      </c>
      <c r="I20" s="24">
        <v>9311.86</v>
      </c>
      <c r="J20" s="24">
        <v>10225.48</v>
      </c>
      <c r="K20" s="24">
        <v>7594</v>
      </c>
      <c r="L20" s="24">
        <v>5083</v>
      </c>
      <c r="M20" s="24">
        <f>IFERROR(SUM('Data Sheet'!H46:K46),0)</f>
        <v>6317</v>
      </c>
    </row>
    <row r="21" spans="2:15" x14ac:dyDescent="0.3">
      <c r="B21" s="141" t="s">
        <v>94</v>
      </c>
      <c r="C21" s="142">
        <f>C20/C5</f>
        <v>1.7905727101993223E-2</v>
      </c>
      <c r="D21" s="142">
        <f t="shared" ref="D21:M21" si="7">D20/D5</f>
        <v>1.5714229512714312E-2</v>
      </c>
      <c r="E21" s="142">
        <f t="shared" si="7"/>
        <v>1.605824830060304E-2</v>
      </c>
      <c r="F21" s="142">
        <f t="shared" si="7"/>
        <v>1.9072102124141878E-2</v>
      </c>
      <c r="G21" s="142">
        <f t="shared" si="7"/>
        <v>2.7744996829752802E-2</v>
      </c>
      <c r="H21" s="142">
        <f t="shared" si="7"/>
        <v>3.2415292955516477E-2</v>
      </c>
      <c r="I21" s="142">
        <f t="shared" si="7"/>
        <v>3.3441332168710897E-2</v>
      </c>
      <c r="J21" s="142">
        <f t="shared" si="7"/>
        <v>2.9556231914277829E-2</v>
      </c>
      <c r="K21" s="142">
        <f t="shared" si="7"/>
        <v>1.7497050799970507E-2</v>
      </c>
      <c r="L21" s="142">
        <f t="shared" si="7"/>
        <v>1.1560286107415368E-2</v>
      </c>
      <c r="M21" s="142">
        <f t="shared" si="7"/>
        <v>1.4304509192520985E-2</v>
      </c>
    </row>
    <row r="22" spans="2:15" x14ac:dyDescent="0.3">
      <c r="B22" s="141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</row>
    <row r="23" spans="2:15" x14ac:dyDescent="0.3">
      <c r="B23" t="s">
        <v>93</v>
      </c>
      <c r="C23" s="24">
        <f>IFERROR('Data Sheet'!B26,0)</f>
        <v>16710.78</v>
      </c>
      <c r="D23" s="24">
        <f>IFERROR('Data Sheet'!C26,0)</f>
        <v>17904.990000000002</v>
      </c>
      <c r="E23" s="24">
        <f>IFERROR('Data Sheet'!D26,0)</f>
        <v>21553.59</v>
      </c>
      <c r="F23" s="24">
        <f>IFERROR('Data Sheet'!E26,0)</f>
        <v>23590.63</v>
      </c>
      <c r="G23" s="24">
        <f>IFERROR('Data Sheet'!F26,0)</f>
        <v>21425.43</v>
      </c>
      <c r="H23" s="24">
        <f>IFERROR('Data Sheet'!G26,0)</f>
        <v>23546.71</v>
      </c>
      <c r="I23" s="24">
        <f>IFERROR('Data Sheet'!H26,0)</f>
        <v>24835.69</v>
      </c>
      <c r="J23" s="24">
        <f>IFERROR('Data Sheet'!I26,0)</f>
        <v>24860.36</v>
      </c>
      <c r="K23" s="24">
        <f>IFERROR('Data Sheet'!J26,0)</f>
        <v>27239</v>
      </c>
      <c r="L23" s="24">
        <f>IFERROR('Data Sheet'!K26,0)</f>
        <v>23256</v>
      </c>
      <c r="M23" s="24">
        <f>IFERROR(SUM('Data Sheet'!H45:K45),0)</f>
        <v>23273</v>
      </c>
    </row>
    <row r="24" spans="2:15" x14ac:dyDescent="0.3">
      <c r="B24" s="141" t="s">
        <v>95</v>
      </c>
      <c r="C24" s="142">
        <f>C23/C5</f>
        <v>6.1201425695927715E-2</v>
      </c>
      <c r="D24" s="142">
        <f t="shared" ref="D24:M24" si="8">D23/D5</f>
        <v>6.63903865924938E-2</v>
      </c>
      <c r="E24" s="142">
        <f t="shared" si="8"/>
        <v>7.3927472182518786E-2</v>
      </c>
      <c r="F24" s="142">
        <f t="shared" si="8"/>
        <v>7.8130605447998658E-2</v>
      </c>
      <c r="G24" s="142">
        <f t="shared" si="8"/>
        <v>8.206839774331566E-2</v>
      </c>
      <c r="H24" s="142">
        <f t="shared" si="8"/>
        <v>9.4264230933596482E-2</v>
      </c>
      <c r="I24" s="142">
        <f t="shared" si="8"/>
        <v>8.9191478279219347E-2</v>
      </c>
      <c r="J24" s="142">
        <f t="shared" si="8"/>
        <v>7.1857611147098821E-2</v>
      </c>
      <c r="K24" s="142">
        <f t="shared" si="8"/>
        <v>6.2760359065103591E-2</v>
      </c>
      <c r="L24" s="142">
        <f t="shared" si="8"/>
        <v>5.2891208678743216E-2</v>
      </c>
      <c r="M24" s="142">
        <f t="shared" si="8"/>
        <v>5.2700465796666283E-2</v>
      </c>
    </row>
    <row r="26" spans="2:15" x14ac:dyDescent="0.3">
      <c r="B26" s="145" t="s">
        <v>96</v>
      </c>
      <c r="C26" s="144">
        <f>IFERROR(C17-SUM(C20,C23),0)</f>
        <v>16795.38999999997</v>
      </c>
      <c r="D26" s="144">
        <f t="shared" ref="D26:M26" si="9">IFERROR(D17-SUM(D20,D23),0)</f>
        <v>7445.690000000046</v>
      </c>
      <c r="E26" s="144">
        <f t="shared" si="9"/>
        <v>5222.299999999992</v>
      </c>
      <c r="F26" s="144">
        <f t="shared" si="9"/>
        <v>-4684.8999999999796</v>
      </c>
      <c r="G26" s="144">
        <f t="shared" si="9"/>
        <v>-10681.690000000039</v>
      </c>
      <c r="H26" s="144">
        <f t="shared" si="9"/>
        <v>643.549999999992</v>
      </c>
      <c r="I26" s="144">
        <f t="shared" si="9"/>
        <v>-9427.4599999999882</v>
      </c>
      <c r="J26" s="144">
        <f t="shared" si="9"/>
        <v>-3270.0400000000373</v>
      </c>
      <c r="K26" s="144">
        <f t="shared" si="9"/>
        <v>22991</v>
      </c>
      <c r="L26" s="144">
        <f t="shared" si="9"/>
        <v>26877</v>
      </c>
      <c r="M26" s="144">
        <f t="shared" si="9"/>
        <v>27595</v>
      </c>
      <c r="O26" s="24">
        <f>L26-K26-1</f>
        <v>3885</v>
      </c>
    </row>
    <row r="27" spans="2:15" x14ac:dyDescent="0.3">
      <c r="B27" s="141" t="s">
        <v>97</v>
      </c>
      <c r="C27" s="142">
        <f>C26/C5</f>
        <v>6.1511300676516931E-2</v>
      </c>
      <c r="D27" s="142">
        <f t="shared" ref="D27:M27" si="10">D26/D5</f>
        <v>2.7608071132565179E-2</v>
      </c>
      <c r="E27" s="142">
        <f t="shared" si="10"/>
        <v>1.7912163958707913E-2</v>
      </c>
      <c r="F27" s="142">
        <f t="shared" si="10"/>
        <v>-1.5516078776333117E-2</v>
      </c>
      <c r="G27" s="142">
        <f t="shared" si="10"/>
        <v>-4.0915360088026265E-2</v>
      </c>
      <c r="H27" s="142">
        <f t="shared" si="10"/>
        <v>2.5763151547420113E-3</v>
      </c>
      <c r="I27" s="142">
        <f t="shared" si="10"/>
        <v>-3.3856482095653805E-2</v>
      </c>
      <c r="J27" s="142">
        <f t="shared" si="10"/>
        <v>-9.4518849588445895E-3</v>
      </c>
      <c r="K27" s="142">
        <f t="shared" si="10"/>
        <v>5.2972701467227018E-2</v>
      </c>
      <c r="L27" s="142">
        <f t="shared" si="10"/>
        <v>6.1126462661617711E-2</v>
      </c>
      <c r="M27" s="142">
        <f t="shared" si="10"/>
        <v>6.2487404015769604E-2</v>
      </c>
    </row>
    <row r="29" spans="2:15" x14ac:dyDescent="0.3">
      <c r="B29" t="s">
        <v>98</v>
      </c>
      <c r="C29" s="24">
        <f>IFERROR('Data Sheet'!B48,0)</f>
        <v>262.83</v>
      </c>
      <c r="D29" s="24">
        <f>IFERROR('Data Sheet'!C48,0)</f>
        <v>-620.65</v>
      </c>
      <c r="E29" s="24">
        <f>IFERROR('Data Sheet'!D48,0)</f>
        <v>1563</v>
      </c>
      <c r="F29" s="24">
        <f>IFERROR('Data Sheet'!E48,0)</f>
        <v>2203</v>
      </c>
      <c r="G29" s="24">
        <f>IFERROR('Data Sheet'!F48,0)</f>
        <v>542</v>
      </c>
      <c r="H29" s="24">
        <f>IFERROR('Data Sheet'!G48,0)</f>
        <v>-8219</v>
      </c>
      <c r="I29" s="24">
        <f>IFERROR('Data Sheet'!H48,0)</f>
        <v>3178</v>
      </c>
      <c r="J29" s="24">
        <f>IFERROR('Data Sheet'!I48,0)</f>
        <v>2317</v>
      </c>
      <c r="K29" s="24">
        <f>IFERROR('Data Sheet'!J48,0)</f>
        <v>2120</v>
      </c>
      <c r="L29" s="24">
        <f>IFERROR('Data Sheet'!K48,0)</f>
        <v>2948</v>
      </c>
      <c r="M29" s="24">
        <f>IFERROR(SUM('Data Sheet'!H48:K48),0)</f>
        <v>10563</v>
      </c>
    </row>
    <row r="30" spans="2:15" x14ac:dyDescent="0.3">
      <c r="B30" s="141" t="s">
        <v>100</v>
      </c>
      <c r="C30" s="142">
        <f>C29/C5</f>
        <v>9.6258646907329765E-4</v>
      </c>
      <c r="D30" s="142">
        <f t="shared" ref="D30:M30" si="11">D29/D5</f>
        <v>-2.3013245714536158E-3</v>
      </c>
      <c r="E30" s="142">
        <f t="shared" si="11"/>
        <v>5.3609927172817559E-3</v>
      </c>
      <c r="F30" s="142">
        <f t="shared" si="11"/>
        <v>7.2961902162825259E-3</v>
      </c>
      <c r="G30" s="142">
        <f t="shared" si="11"/>
        <v>2.0760876947103087E-3</v>
      </c>
      <c r="H30" s="142">
        <f t="shared" si="11"/>
        <v>-3.2903013373980036E-2</v>
      </c>
      <c r="I30" s="142">
        <f t="shared" si="11"/>
        <v>1.1413031728587332E-2</v>
      </c>
      <c r="J30" s="142">
        <f t="shared" si="11"/>
        <v>6.6971711201216696E-3</v>
      </c>
      <c r="K30" s="142">
        <f t="shared" si="11"/>
        <v>4.8846125488461256E-3</v>
      </c>
      <c r="L30" s="142">
        <f t="shared" si="11"/>
        <v>6.7046475397718871E-3</v>
      </c>
      <c r="M30" s="142">
        <f t="shared" si="11"/>
        <v>2.3919349469779829E-2</v>
      </c>
    </row>
    <row r="32" spans="2:15" x14ac:dyDescent="0.3">
      <c r="B32" s="2" t="s">
        <v>101</v>
      </c>
      <c r="C32" s="144">
        <f>'Data Sheet'!B49</f>
        <v>2957.71</v>
      </c>
      <c r="D32" s="144">
        <f>'Data Sheet'!C49</f>
        <v>5407.79</v>
      </c>
      <c r="E32" s="144">
        <f>'Data Sheet'!D49</f>
        <v>3203</v>
      </c>
      <c r="F32" s="144">
        <f>'Data Sheet'!E49</f>
        <v>3764</v>
      </c>
      <c r="G32" s="144">
        <f>'Data Sheet'!F49</f>
        <v>7025</v>
      </c>
      <c r="H32" s="144">
        <f>'Data Sheet'!G49</f>
        <v>17407</v>
      </c>
      <c r="I32" s="144">
        <f>'Data Sheet'!H49</f>
        <v>5566</v>
      </c>
      <c r="J32" s="144">
        <f>'Data Sheet'!I49</f>
        <v>3343</v>
      </c>
      <c r="K32" s="144">
        <f>'Data Sheet'!J49</f>
        <v>5406</v>
      </c>
      <c r="L32" s="144">
        <f>'Data Sheet'!K49</f>
        <v>8470</v>
      </c>
      <c r="M32" s="144">
        <f>IFERROR(SUM('Data Sheet'!H49:K49),0)</f>
        <v>22785</v>
      </c>
    </row>
    <row r="33" spans="2:13" x14ac:dyDescent="0.3">
      <c r="B33" s="141" t="s">
        <v>102</v>
      </c>
      <c r="C33" s="142">
        <f>IFERROR(C32/C5,0)</f>
        <v>1.0832293214027256E-2</v>
      </c>
      <c r="D33" s="142">
        <f t="shared" ref="D33:M33" si="12">IFERROR(D32/D5,0)</f>
        <v>2.0051687753582775E-2</v>
      </c>
      <c r="E33" s="142">
        <f t="shared" si="12"/>
        <v>1.0986090642004774E-2</v>
      </c>
      <c r="F33" s="142">
        <f t="shared" si="12"/>
        <v>1.2466118916971143E-2</v>
      </c>
      <c r="G33" s="142">
        <f t="shared" si="12"/>
        <v>2.690870120911424E-2</v>
      </c>
      <c r="H33" s="142">
        <f t="shared" si="12"/>
        <v>6.9685211558689689E-2</v>
      </c>
      <c r="I33" s="142">
        <f t="shared" si="12"/>
        <v>1.9988966205574919E-2</v>
      </c>
      <c r="J33" s="142">
        <f t="shared" si="12"/>
        <v>9.6627721426701518E-3</v>
      </c>
      <c r="K33" s="142">
        <f t="shared" si="12"/>
        <v>1.245576199955762E-2</v>
      </c>
      <c r="L33" s="142">
        <f t="shared" si="12"/>
        <v>1.926335300606102E-2</v>
      </c>
      <c r="M33" s="142">
        <f t="shared" si="12"/>
        <v>5.1595415854296445E-2</v>
      </c>
    </row>
    <row r="35" spans="2:13" x14ac:dyDescent="0.3">
      <c r="B35" t="s">
        <v>103</v>
      </c>
      <c r="C35" s="24">
        <f>IFERROR('Data Sheet'!B93,0)</f>
        <v>288.72000000000003</v>
      </c>
      <c r="D35" s="24">
        <f>IFERROR('Data Sheet'!C93,0)</f>
        <v>288.73</v>
      </c>
      <c r="E35" s="24">
        <f>IFERROR('Data Sheet'!D93,0)</f>
        <v>288.73</v>
      </c>
      <c r="F35" s="24">
        <f>IFERROR('Data Sheet'!E93,0)</f>
        <v>288.73</v>
      </c>
      <c r="G35" s="24">
        <f>IFERROR('Data Sheet'!F93,0)</f>
        <v>308.89999999999998</v>
      </c>
      <c r="H35" s="24">
        <f>IFERROR('Data Sheet'!G93,0)</f>
        <v>332.03</v>
      </c>
      <c r="I35" s="24">
        <f>IFERROR('Data Sheet'!H93,0)</f>
        <v>332.07</v>
      </c>
      <c r="J35" s="24">
        <f>IFERROR('Data Sheet'!I93,0)</f>
        <v>332.13</v>
      </c>
      <c r="K35" s="24">
        <f>IFERROR('Data Sheet'!J93,0)</f>
        <v>332.37</v>
      </c>
      <c r="L35" s="24">
        <f>IFERROR('Data Sheet'!K93,0)</f>
        <v>368.13</v>
      </c>
      <c r="M35" s="24"/>
    </row>
    <row r="37" spans="2:13" x14ac:dyDescent="0.3">
      <c r="B37" t="s">
        <v>48</v>
      </c>
      <c r="C37" s="24">
        <f>IFERROR(C32/C35,0)</f>
        <v>10.244215849265723</v>
      </c>
      <c r="D37" s="24">
        <f t="shared" ref="D37:M37" si="13">IFERROR(D32/D35,0)</f>
        <v>18.72957434281162</v>
      </c>
      <c r="E37" s="24">
        <f t="shared" si="13"/>
        <v>11.093409067294704</v>
      </c>
      <c r="F37" s="24">
        <f t="shared" si="13"/>
        <v>13.036400789665084</v>
      </c>
      <c r="G37" s="24">
        <f t="shared" si="13"/>
        <v>22.741987698284237</v>
      </c>
      <c r="H37" s="24">
        <f t="shared" si="13"/>
        <v>52.425985603710515</v>
      </c>
      <c r="I37" s="24">
        <f t="shared" si="13"/>
        <v>16.761526184238264</v>
      </c>
      <c r="J37" s="24">
        <f t="shared" si="13"/>
        <v>10.065335862463494</v>
      </c>
      <c r="K37" s="24">
        <f t="shared" si="13"/>
        <v>16.265005866955502</v>
      </c>
      <c r="L37" s="24">
        <f t="shared" si="13"/>
        <v>23.008176459402929</v>
      </c>
      <c r="M37" s="24">
        <f t="shared" si="13"/>
        <v>0</v>
      </c>
    </row>
    <row r="38" spans="2:13" x14ac:dyDescent="0.3">
      <c r="B38" s="141" t="s">
        <v>105</v>
      </c>
      <c r="C38" s="142"/>
      <c r="D38" s="142">
        <f>IFERROR(D37/C37-1,0)</f>
        <v>0.82830727294311202</v>
      </c>
      <c r="E38" s="142">
        <f t="shared" ref="E38:M38" si="14">IFERROR(E37/D37-1,0)</f>
        <v>-0.40770629037000317</v>
      </c>
      <c r="F38" s="142">
        <f t="shared" si="14"/>
        <v>0.1751482984701842</v>
      </c>
      <c r="G38" s="142">
        <f t="shared" si="14"/>
        <v>0.74449896602699472</v>
      </c>
      <c r="H38" s="142">
        <f t="shared" si="14"/>
        <v>1.3052508118129786</v>
      </c>
      <c r="I38" s="142">
        <f t="shared" si="14"/>
        <v>-0.68028209691775543</v>
      </c>
      <c r="J38" s="142">
        <f t="shared" si="14"/>
        <v>-0.39949765004522952</v>
      </c>
      <c r="K38" s="142">
        <f t="shared" si="14"/>
        <v>0.61594268578879174</v>
      </c>
      <c r="L38" s="142">
        <f t="shared" si="14"/>
        <v>0.41458150384975045</v>
      </c>
      <c r="M38" s="142">
        <f t="shared" si="14"/>
        <v>-1</v>
      </c>
    </row>
    <row r="40" spans="2:13" x14ac:dyDescent="0.3">
      <c r="B40" t="s">
        <v>104</v>
      </c>
      <c r="C40" s="24">
        <f>IFERROR('Data Sheet'!B31/HistoricaIFS!C35,0)</f>
        <v>0.23524522028262676</v>
      </c>
      <c r="D40" s="24">
        <f>IFERROR('Data Sheet'!C31/HistoricaIFS!D35,0)</f>
        <v>0</v>
      </c>
      <c r="E40" s="24">
        <f>IFERROR('Data Sheet'!D31/HistoricaIFS!E35,0)</f>
        <v>0</v>
      </c>
      <c r="F40" s="24">
        <f>IFERROR('Data Sheet'!E31/HistoricaIFS!F35,0)</f>
        <v>0</v>
      </c>
      <c r="G40" s="24">
        <f>IFERROR('Data Sheet'!F31/HistoricaIFS!G35,0)</f>
        <v>0</v>
      </c>
      <c r="H40" s="24">
        <f>IFERROR('Data Sheet'!G31/HistoricaIFS!H35,0)</f>
        <v>0</v>
      </c>
      <c r="I40" s="24">
        <f>IFERROR('Data Sheet'!H31/HistoricaIFS!I35,0)</f>
        <v>0</v>
      </c>
      <c r="J40" s="24">
        <f>IFERROR('Data Sheet'!I31/HistoricaIFS!J35,0)</f>
        <v>2.3063860536536898</v>
      </c>
      <c r="K40" s="24">
        <f>IFERROR('Data Sheet'!J31/HistoricaIFS!K35,0)</f>
        <v>6.9230074916508713</v>
      </c>
      <c r="L40" s="24">
        <f>IFERROR('Data Sheet'!K31/HistoricaIFS!L35,0)</f>
        <v>5.9978811832776469</v>
      </c>
      <c r="M40" s="24">
        <f>IFERROR('Data Sheet'!L31/HistoricaIFS!M35,0)</f>
        <v>0</v>
      </c>
    </row>
    <row r="41" spans="2:13" x14ac:dyDescent="0.3">
      <c r="B41" s="141" t="s">
        <v>106</v>
      </c>
      <c r="C41" s="142">
        <f>C40/C37</f>
        <v>2.2963711790540658E-2</v>
      </c>
      <c r="D41" s="142">
        <f t="shared" ref="D41:M41" si="15">D40/D37</f>
        <v>0</v>
      </c>
      <c r="E41" s="142">
        <f t="shared" si="15"/>
        <v>0</v>
      </c>
      <c r="F41" s="142">
        <f t="shared" si="15"/>
        <v>0</v>
      </c>
      <c r="G41" s="142">
        <f t="shared" si="15"/>
        <v>0</v>
      </c>
      <c r="H41" s="142">
        <f t="shared" si="15"/>
        <v>0</v>
      </c>
      <c r="I41" s="142">
        <f t="shared" si="15"/>
        <v>0</v>
      </c>
      <c r="J41" s="142">
        <f t="shared" si="15"/>
        <v>0.2291414896799282</v>
      </c>
      <c r="K41" s="142">
        <f t="shared" si="15"/>
        <v>0.42563817980022201</v>
      </c>
      <c r="L41" s="142">
        <f t="shared" si="15"/>
        <v>0.26068476977567889</v>
      </c>
      <c r="M41" s="142" t="e">
        <f t="shared" si="15"/>
        <v>#DIV/0!</v>
      </c>
    </row>
    <row r="43" spans="2:13" x14ac:dyDescent="0.3">
      <c r="B43" t="s">
        <v>107</v>
      </c>
      <c r="C43" s="5">
        <f>IFERROR(IF(C37&gt;C40,1-C40,0),0)</f>
        <v>0.76475477971737327</v>
      </c>
      <c r="D43" s="5">
        <f t="shared" ref="D43:M43" si="16">IFERROR(IF(D37&gt;D40,1-D40,0),0)</f>
        <v>1</v>
      </c>
      <c r="E43" s="5">
        <f t="shared" si="16"/>
        <v>1</v>
      </c>
      <c r="F43" s="5">
        <f t="shared" si="16"/>
        <v>1</v>
      </c>
      <c r="G43" s="5">
        <f t="shared" si="16"/>
        <v>1</v>
      </c>
      <c r="H43" s="5">
        <f t="shared" si="16"/>
        <v>1</v>
      </c>
      <c r="I43" s="5">
        <f t="shared" si="16"/>
        <v>1</v>
      </c>
      <c r="J43" s="5">
        <f t="shared" si="16"/>
        <v>-1.3063860536536898</v>
      </c>
      <c r="K43" s="5">
        <f t="shared" si="16"/>
        <v>-5.9230074916508713</v>
      </c>
      <c r="L43" s="5">
        <f t="shared" si="16"/>
        <v>-4.9978811832776469</v>
      </c>
      <c r="M43" s="5">
        <f t="shared" si="16"/>
        <v>0</v>
      </c>
    </row>
    <row r="46" spans="2:13" x14ac:dyDescent="0.3">
      <c r="B46" s="174" t="s">
        <v>108</v>
      </c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68"/>
    </row>
    <row r="47" spans="2:13" x14ac:dyDescent="0.3">
      <c r="B47" t="s">
        <v>24</v>
      </c>
      <c r="C47" s="24">
        <f>IFERROR('Data Sheet'!B57,0)</f>
        <v>679.18</v>
      </c>
      <c r="D47" s="24">
        <f>IFERROR('Data Sheet'!C57,0)</f>
        <v>679.22</v>
      </c>
      <c r="E47" s="24">
        <f>IFERROR('Data Sheet'!D57,0)</f>
        <v>679.22</v>
      </c>
      <c r="F47" s="24">
        <f>IFERROR('Data Sheet'!E57,0)</f>
        <v>679.22</v>
      </c>
      <c r="G47" s="24">
        <f>IFERROR('Data Sheet'!F57,0)</f>
        <v>719.54</v>
      </c>
      <c r="H47" s="24">
        <f>IFERROR('Data Sheet'!G57,0)</f>
        <v>765.81</v>
      </c>
      <c r="I47" s="24">
        <f>IFERROR('Data Sheet'!H57,0)</f>
        <v>765.88</v>
      </c>
      <c r="J47" s="24">
        <f>IFERROR('Data Sheet'!I57,0)</f>
        <v>766.02</v>
      </c>
      <c r="K47" s="24">
        <f>IFERROR('Data Sheet'!J57,0)</f>
        <v>767</v>
      </c>
      <c r="L47" s="24">
        <f>IFERROR('Data Sheet'!K57,0)</f>
        <v>736</v>
      </c>
      <c r="M47" s="24"/>
    </row>
    <row r="48" spans="2:13" x14ac:dyDescent="0.3">
      <c r="B48" t="s">
        <v>25</v>
      </c>
      <c r="C48" s="24">
        <f>IFERROR('Data Sheet'!B58,0)</f>
        <v>78273.23</v>
      </c>
      <c r="D48" s="24">
        <f>IFERROR('Data Sheet'!C58,0)</f>
        <v>57382.67</v>
      </c>
      <c r="E48" s="24">
        <f>IFERROR('Data Sheet'!D58,0)</f>
        <v>94748.69</v>
      </c>
      <c r="F48" s="24">
        <f>IFERROR('Data Sheet'!E58,0)</f>
        <v>59500.34</v>
      </c>
      <c r="G48" s="24">
        <f>IFERROR('Data Sheet'!F58,0)</f>
        <v>62358.99</v>
      </c>
      <c r="H48" s="24">
        <f>IFERROR('Data Sheet'!G58,0)</f>
        <v>54480.91</v>
      </c>
      <c r="I48" s="24">
        <f>IFERROR('Data Sheet'!H58,0)</f>
        <v>43795.360000000001</v>
      </c>
      <c r="J48" s="24">
        <f>IFERROR('Data Sheet'!I58,0)</f>
        <v>44555.77</v>
      </c>
      <c r="K48" s="24">
        <f>IFERROR('Data Sheet'!J58,0)</f>
        <v>84151</v>
      </c>
      <c r="L48" s="24">
        <f>IFERROR('Data Sheet'!K58,0)</f>
        <v>115408</v>
      </c>
      <c r="M48" s="24"/>
    </row>
    <row r="49" spans="2:13" x14ac:dyDescent="0.3">
      <c r="B49" t="s">
        <v>62</v>
      </c>
      <c r="C49" s="24">
        <f>IFERROR('Data Sheet'!B59,0)</f>
        <v>69359.960000000006</v>
      </c>
      <c r="D49" s="24">
        <f>IFERROR('Data Sheet'!C59,0)</f>
        <v>78603.98</v>
      </c>
      <c r="E49" s="24">
        <f>IFERROR('Data Sheet'!D59,0)</f>
        <v>88950.47</v>
      </c>
      <c r="F49" s="24">
        <f>IFERROR('Data Sheet'!E59,0)</f>
        <v>106175.34</v>
      </c>
      <c r="G49" s="24">
        <f>IFERROR('Data Sheet'!F59,0)</f>
        <v>124787.64</v>
      </c>
      <c r="H49" s="24">
        <f>IFERROR('Data Sheet'!G59,0)</f>
        <v>142130.57</v>
      </c>
      <c r="I49" s="24">
        <f>IFERROR('Data Sheet'!H59,0)</f>
        <v>146449.03</v>
      </c>
      <c r="J49" s="24">
        <f>IFERROR('Data Sheet'!I59,0)</f>
        <v>134113.44</v>
      </c>
      <c r="K49" s="24">
        <f>IFERROR('Data Sheet'!J59,0)</f>
        <v>107264</v>
      </c>
      <c r="L49" s="24">
        <f>IFERROR('Data Sheet'!K59,0)</f>
        <v>71540</v>
      </c>
      <c r="M49" s="24"/>
    </row>
    <row r="50" spans="2:13" x14ac:dyDescent="0.3">
      <c r="B50" t="s">
        <v>63</v>
      </c>
      <c r="C50" s="24">
        <f>IFERROR('Data Sheet'!B60,0)</f>
        <v>114871.75</v>
      </c>
      <c r="D50" s="24">
        <f>IFERROR('Data Sheet'!C60,0)</f>
        <v>135914.49</v>
      </c>
      <c r="E50" s="24">
        <f>IFERROR('Data Sheet'!D60,0)</f>
        <v>142813.43</v>
      </c>
      <c r="F50" s="24">
        <f>IFERROR('Data Sheet'!E60,0)</f>
        <v>139348.59</v>
      </c>
      <c r="G50" s="24">
        <f>IFERROR('Data Sheet'!F60,0)</f>
        <v>132313.22</v>
      </c>
      <c r="H50" s="24">
        <f>IFERROR('Data Sheet'!G60,0)</f>
        <v>144192.62</v>
      </c>
      <c r="I50" s="24">
        <f>IFERROR('Data Sheet'!H60,0)</f>
        <v>138051.22</v>
      </c>
      <c r="J50" s="24">
        <f>IFERROR('Data Sheet'!I60,0)</f>
        <v>155239.20000000001</v>
      </c>
      <c r="K50" s="24">
        <f>IFERROR('Data Sheet'!J60,0)</f>
        <v>177339</v>
      </c>
      <c r="L50" s="24">
        <f>IFERROR('Data Sheet'!K60,0)</f>
        <v>189289</v>
      </c>
      <c r="M50" s="24"/>
    </row>
    <row r="51" spans="2:13" x14ac:dyDescent="0.3">
      <c r="B51" s="2" t="s">
        <v>109</v>
      </c>
      <c r="C51" s="144">
        <f>IFERROR('Data Sheet'!B61,0)</f>
        <v>263184.12</v>
      </c>
      <c r="D51" s="144">
        <f>IFERROR('Data Sheet'!C61,0)</f>
        <v>272580.36</v>
      </c>
      <c r="E51" s="144">
        <f>IFERROR('Data Sheet'!D61,0)</f>
        <v>327191.81</v>
      </c>
      <c r="F51" s="144">
        <f>IFERROR('Data Sheet'!E61,0)</f>
        <v>305703.49</v>
      </c>
      <c r="G51" s="144">
        <f>IFERROR('Data Sheet'!F61,0)</f>
        <v>320179.39</v>
      </c>
      <c r="H51" s="144">
        <f>IFERROR('Data Sheet'!G61,0)</f>
        <v>341569.91</v>
      </c>
      <c r="I51" s="144">
        <f>IFERROR('Data Sheet'!H61,0)</f>
        <v>329061.49</v>
      </c>
      <c r="J51" s="144">
        <f>IFERROR('Data Sheet'!I61,0)</f>
        <v>334674.43</v>
      </c>
      <c r="K51" s="144">
        <f>IFERROR('Data Sheet'!J61,0)</f>
        <v>369521</v>
      </c>
      <c r="L51" s="144">
        <f>IFERROR('Data Sheet'!K61,0)</f>
        <v>376973</v>
      </c>
      <c r="M51" s="24"/>
    </row>
    <row r="54" spans="2:13" x14ac:dyDescent="0.3">
      <c r="B54" t="s">
        <v>110</v>
      </c>
      <c r="C54" s="24">
        <f>IFERROR('Data Sheet'!B62,0)</f>
        <v>107231.76</v>
      </c>
      <c r="D54" s="24">
        <f>IFERROR('Data Sheet'!C62,0)</f>
        <v>95944.08</v>
      </c>
      <c r="E54" s="24">
        <f>IFERROR('Data Sheet'!D62,0)</f>
        <v>121413.86</v>
      </c>
      <c r="F54" s="24">
        <f>IFERROR('Data Sheet'!E62,0)</f>
        <v>111234.47</v>
      </c>
      <c r="G54" s="24">
        <f>IFERROR('Data Sheet'!F62,0)</f>
        <v>127107.14</v>
      </c>
      <c r="H54" s="24">
        <f>IFERROR('Data Sheet'!G62,0)</f>
        <v>138707.60999999999</v>
      </c>
      <c r="I54" s="24">
        <f>IFERROR('Data Sheet'!H62,0)</f>
        <v>138855.45000000001</v>
      </c>
      <c r="J54" s="24">
        <f>IFERROR('Data Sheet'!I62,0)</f>
        <v>132079.76</v>
      </c>
      <c r="K54" s="24">
        <f>IFERROR('Data Sheet'!J62,0)</f>
        <v>121285</v>
      </c>
      <c r="L54" s="24">
        <f>IFERROR('Data Sheet'!K62,0)</f>
        <v>115697</v>
      </c>
    </row>
    <row r="55" spans="2:13" x14ac:dyDescent="0.3">
      <c r="B55" t="s">
        <v>28</v>
      </c>
      <c r="C55" s="24">
        <f>IFERROR('Data Sheet'!B63,0)</f>
        <v>25918.94</v>
      </c>
      <c r="D55" s="24">
        <f>IFERROR('Data Sheet'!C63,0)</f>
        <v>33698.839999999997</v>
      </c>
      <c r="E55" s="24">
        <f>IFERROR('Data Sheet'!D63,0)</f>
        <v>40033.5</v>
      </c>
      <c r="F55" s="24">
        <f>IFERROR('Data Sheet'!E63,0)</f>
        <v>31883.84</v>
      </c>
      <c r="G55" s="24">
        <f>IFERROR('Data Sheet'!F63,0)</f>
        <v>35622.29</v>
      </c>
      <c r="H55" s="24">
        <f>IFERROR('Data Sheet'!G63,0)</f>
        <v>20963.93</v>
      </c>
      <c r="I55" s="24">
        <f>IFERROR('Data Sheet'!H63,0)</f>
        <v>10251.09</v>
      </c>
      <c r="J55" s="24">
        <f>IFERROR('Data Sheet'!I63,0)</f>
        <v>14274.5</v>
      </c>
      <c r="K55" s="24">
        <f>IFERROR('Data Sheet'!J63,0)</f>
        <v>35698</v>
      </c>
      <c r="L55" s="24">
        <f>IFERROR('Data Sheet'!K63,0)</f>
        <v>65806</v>
      </c>
    </row>
    <row r="56" spans="2:13" x14ac:dyDescent="0.3">
      <c r="B56" t="s">
        <v>29</v>
      </c>
      <c r="C56" s="24">
        <f>IFERROR('Data Sheet'!B64,0)</f>
        <v>23767.02</v>
      </c>
      <c r="D56" s="24">
        <f>IFERROR('Data Sheet'!C64,0)</f>
        <v>20337.919999999998</v>
      </c>
      <c r="E56" s="24">
        <f>IFERROR('Data Sheet'!D64,0)</f>
        <v>20812.75</v>
      </c>
      <c r="F56" s="24">
        <f>IFERROR('Data Sheet'!E64,0)</f>
        <v>15770.72</v>
      </c>
      <c r="G56" s="24">
        <f>IFERROR('Data Sheet'!F64,0)</f>
        <v>16308.48</v>
      </c>
      <c r="H56" s="24">
        <f>IFERROR('Data Sheet'!G64,0)</f>
        <v>24620.28</v>
      </c>
      <c r="I56" s="24">
        <f>IFERROR('Data Sheet'!H64,0)</f>
        <v>29379.53</v>
      </c>
      <c r="J56" s="24">
        <f>IFERROR('Data Sheet'!I64,0)</f>
        <v>26379.16</v>
      </c>
      <c r="K56" s="24">
        <f>IFERROR('Data Sheet'!J64,0)</f>
        <v>22971</v>
      </c>
      <c r="L56" s="24">
        <f>IFERROR('Data Sheet'!K64,0)</f>
        <v>35656</v>
      </c>
    </row>
    <row r="57" spans="2:13" x14ac:dyDescent="0.3">
      <c r="B57" t="s">
        <v>64</v>
      </c>
      <c r="C57" s="24">
        <f>IFERROR('Data Sheet'!B65-SUM('Data Sheet'!B67:B69),0)</f>
        <v>29579.359999999986</v>
      </c>
      <c r="D57" s="24">
        <f>IFERROR('Data Sheet'!C65-SUM('Data Sheet'!C67:C69),0)</f>
        <v>37360.780000000013</v>
      </c>
      <c r="E57" s="24">
        <f>IFERROR('Data Sheet'!D65-SUM('Data Sheet'!D67:D69),0)</f>
        <v>48286.860000000015</v>
      </c>
      <c r="F57" s="24">
        <f>IFERROR('Data Sheet'!E65-SUM('Data Sheet'!E67:E69),0)</f>
        <v>56155.739999999991</v>
      </c>
      <c r="G57" s="24">
        <f>IFERROR('Data Sheet'!F65-SUM('Data Sheet'!F67:F69),0)</f>
        <v>58784.94</v>
      </c>
      <c r="H57" s="24">
        <f>IFERROR('Data Sheet'!G65-SUM('Data Sheet'!G67:G69),0)</f>
        <v>61717.959999999992</v>
      </c>
      <c r="I57" s="24">
        <f>IFERROR('Data Sheet'!H65-SUM('Data Sheet'!H67:H69),0)</f>
        <v>62223.770000000019</v>
      </c>
      <c r="J57" s="24">
        <f>IFERROR('Data Sheet'!I65-SUM('Data Sheet'!I67:I69),0)</f>
        <v>68432.090000000011</v>
      </c>
      <c r="K57" s="24">
        <f>IFERROR('Data Sheet'!J65-SUM('Data Sheet'!J67:J69),0)</f>
        <v>79020</v>
      </c>
      <c r="L57" s="24">
        <f>IFERROR('Data Sheet'!K65-SUM('Data Sheet'!K67:K69),0)</f>
        <v>58463</v>
      </c>
    </row>
    <row r="58" spans="2:13" x14ac:dyDescent="0.3">
      <c r="B58" s="2" t="s">
        <v>111</v>
      </c>
      <c r="C58" s="144">
        <f>SUM(C54:C57)</f>
        <v>186497.07999999996</v>
      </c>
      <c r="D58" s="144">
        <f t="shared" ref="D58:L58" si="17">SUM(D54:D57)</f>
        <v>187341.62</v>
      </c>
      <c r="E58" s="144">
        <f t="shared" si="17"/>
        <v>230546.97</v>
      </c>
      <c r="F58" s="144">
        <f t="shared" si="17"/>
        <v>215044.77</v>
      </c>
      <c r="G58" s="144">
        <f t="shared" si="17"/>
        <v>237822.85</v>
      </c>
      <c r="H58" s="144">
        <f t="shared" si="17"/>
        <v>246009.77999999997</v>
      </c>
      <c r="I58" s="144">
        <f t="shared" si="17"/>
        <v>240709.84000000003</v>
      </c>
      <c r="J58" s="144">
        <f t="shared" si="17"/>
        <v>241165.51</v>
      </c>
      <c r="K58" s="144">
        <f t="shared" si="17"/>
        <v>258974</v>
      </c>
      <c r="L58" s="144">
        <f t="shared" si="17"/>
        <v>275622</v>
      </c>
    </row>
    <row r="59" spans="2:13" x14ac:dyDescent="0.3">
      <c r="C59" s="24"/>
    </row>
    <row r="61" spans="2:13" x14ac:dyDescent="0.3">
      <c r="B61" t="s">
        <v>69</v>
      </c>
      <c r="C61" s="24">
        <f>IFERROR('Data Sheet'!B67,0)</f>
        <v>13570.91</v>
      </c>
      <c r="D61" s="24">
        <f>IFERROR('Data Sheet'!C67,0)</f>
        <v>14075.55</v>
      </c>
      <c r="E61" s="24">
        <f>IFERROR('Data Sheet'!D67,0)</f>
        <v>19893.3</v>
      </c>
      <c r="F61" s="24">
        <f>IFERROR('Data Sheet'!E67,0)</f>
        <v>18996.169999999998</v>
      </c>
      <c r="G61" s="24">
        <f>IFERROR('Data Sheet'!F67,0)</f>
        <v>11172.69</v>
      </c>
      <c r="H61" s="24">
        <f>IFERROR('Data Sheet'!G67,0)</f>
        <v>12679.08</v>
      </c>
      <c r="I61" s="24">
        <f>IFERROR('Data Sheet'!H67,0)</f>
        <v>12442.12</v>
      </c>
      <c r="J61" s="24">
        <f>IFERROR('Data Sheet'!I67,0)</f>
        <v>15737.97</v>
      </c>
      <c r="K61" s="24">
        <f>IFERROR('Data Sheet'!J67,0)</f>
        <v>16952</v>
      </c>
      <c r="L61" s="24">
        <f>IFERROR('Data Sheet'!K67,0)</f>
        <v>13248</v>
      </c>
    </row>
    <row r="62" spans="2:13" x14ac:dyDescent="0.3">
      <c r="B62" t="s">
        <v>45</v>
      </c>
      <c r="C62" s="24">
        <f>IFERROR('Data Sheet'!B68,0)</f>
        <v>32655.73</v>
      </c>
      <c r="D62" s="24">
        <f>IFERROR('Data Sheet'!C68,0)</f>
        <v>35085.31</v>
      </c>
      <c r="E62" s="24">
        <f>IFERROR('Data Sheet'!D68,0)</f>
        <v>42137.63</v>
      </c>
      <c r="F62" s="24">
        <f>IFERROR('Data Sheet'!E68,0)</f>
        <v>39013.730000000003</v>
      </c>
      <c r="G62" s="24">
        <f>IFERROR('Data Sheet'!F68,0)</f>
        <v>37456.879999999997</v>
      </c>
      <c r="H62" s="24">
        <f>IFERROR('Data Sheet'!G68,0)</f>
        <v>36088.589999999997</v>
      </c>
      <c r="I62" s="24">
        <f>IFERROR('Data Sheet'!H68,0)</f>
        <v>35240.339999999997</v>
      </c>
      <c r="J62" s="24">
        <f>IFERROR('Data Sheet'!I68,0)</f>
        <v>40755.39</v>
      </c>
      <c r="K62" s="24">
        <f>IFERROR('Data Sheet'!J68,0)</f>
        <v>47788</v>
      </c>
      <c r="L62" s="24">
        <f>IFERROR('Data Sheet'!K68,0)</f>
        <v>47269</v>
      </c>
    </row>
    <row r="63" spans="2:13" x14ac:dyDescent="0.3">
      <c r="B63" t="s">
        <v>78</v>
      </c>
      <c r="C63" s="24">
        <f>IFERROR('Data Sheet'!B69,0)</f>
        <v>30460.400000000001</v>
      </c>
      <c r="D63" s="24">
        <f>IFERROR('Data Sheet'!C69,0)</f>
        <v>36077.879999999997</v>
      </c>
      <c r="E63" s="24">
        <f>IFERROR('Data Sheet'!D69,0)</f>
        <v>34613.910000000003</v>
      </c>
      <c r="F63" s="24">
        <f>IFERROR('Data Sheet'!E69,0)</f>
        <v>32648.82</v>
      </c>
      <c r="G63" s="24">
        <f>IFERROR('Data Sheet'!F69,0)</f>
        <v>33726.97</v>
      </c>
      <c r="H63" s="24">
        <f>IFERROR('Data Sheet'!G69,0)</f>
        <v>46792.46</v>
      </c>
      <c r="I63" s="24">
        <f>IFERROR('Data Sheet'!H69,0)</f>
        <v>40669.19</v>
      </c>
      <c r="J63" s="24">
        <f>IFERROR('Data Sheet'!I69,0)</f>
        <v>37015.56</v>
      </c>
      <c r="K63" s="24">
        <f>IFERROR('Data Sheet'!J69,0)</f>
        <v>45807</v>
      </c>
      <c r="L63" s="24">
        <f>IFERROR('Data Sheet'!K69,0)</f>
        <v>40834</v>
      </c>
    </row>
    <row r="64" spans="2:13" x14ac:dyDescent="0.3">
      <c r="B64" s="2" t="s">
        <v>112</v>
      </c>
      <c r="C64" s="144">
        <f>IFERROR(SUM(C61:C63),0)</f>
        <v>76687.040000000008</v>
      </c>
      <c r="D64" s="144">
        <f t="shared" ref="D64:L64" si="18">IFERROR(SUM(D61:D63),0)</f>
        <v>85238.739999999991</v>
      </c>
      <c r="E64" s="144">
        <f t="shared" si="18"/>
        <v>96644.84</v>
      </c>
      <c r="F64" s="144">
        <f t="shared" si="18"/>
        <v>90658.72</v>
      </c>
      <c r="G64" s="144">
        <f t="shared" si="18"/>
        <v>82356.540000000008</v>
      </c>
      <c r="H64" s="144">
        <f t="shared" si="18"/>
        <v>95560.13</v>
      </c>
      <c r="I64" s="144">
        <f t="shared" si="18"/>
        <v>88351.65</v>
      </c>
      <c r="J64" s="144">
        <f t="shared" si="18"/>
        <v>93508.92</v>
      </c>
      <c r="K64" s="144">
        <f t="shared" si="18"/>
        <v>110547</v>
      </c>
      <c r="L64" s="144">
        <f t="shared" si="18"/>
        <v>101351</v>
      </c>
    </row>
    <row r="66" spans="1:13" x14ac:dyDescent="0.3">
      <c r="B66" s="2" t="s">
        <v>113</v>
      </c>
      <c r="C66" s="144">
        <f>C58+C64</f>
        <v>263184.12</v>
      </c>
      <c r="D66" s="144">
        <f t="shared" ref="D66:L66" si="19">D58+D64</f>
        <v>272580.36</v>
      </c>
      <c r="E66" s="144">
        <f t="shared" si="19"/>
        <v>327191.81</v>
      </c>
      <c r="F66" s="144">
        <f t="shared" si="19"/>
        <v>305703.49</v>
      </c>
      <c r="G66" s="144">
        <f t="shared" si="19"/>
        <v>320179.39</v>
      </c>
      <c r="H66" s="144">
        <f t="shared" si="19"/>
        <v>341569.91</v>
      </c>
      <c r="I66" s="144">
        <f t="shared" si="19"/>
        <v>329061.49</v>
      </c>
      <c r="J66" s="144">
        <f t="shared" si="19"/>
        <v>334674.43</v>
      </c>
      <c r="K66" s="144">
        <f t="shared" si="19"/>
        <v>369521</v>
      </c>
      <c r="L66" s="144">
        <f t="shared" si="19"/>
        <v>376973</v>
      </c>
    </row>
    <row r="68" spans="1:13" x14ac:dyDescent="0.3">
      <c r="B68" s="2" t="s">
        <v>114</v>
      </c>
      <c r="C68" s="144" t="b">
        <f>C66=C51</f>
        <v>1</v>
      </c>
      <c r="D68" s="144" t="b">
        <f t="shared" ref="D68:L68" si="20">D66=D51</f>
        <v>1</v>
      </c>
      <c r="E68" s="144" t="b">
        <f t="shared" si="20"/>
        <v>1</v>
      </c>
      <c r="F68" s="144" t="b">
        <f t="shared" si="20"/>
        <v>1</v>
      </c>
      <c r="G68" s="144" t="b">
        <f t="shared" si="20"/>
        <v>1</v>
      </c>
      <c r="H68" s="144" t="b">
        <f t="shared" si="20"/>
        <v>1</v>
      </c>
      <c r="I68" s="144" t="b">
        <f t="shared" si="20"/>
        <v>1</v>
      </c>
      <c r="J68" s="144" t="b">
        <f t="shared" si="20"/>
        <v>1</v>
      </c>
      <c r="K68" s="144" t="b">
        <f t="shared" si="20"/>
        <v>1</v>
      </c>
      <c r="L68" s="144" t="b">
        <f t="shared" si="20"/>
        <v>1</v>
      </c>
    </row>
    <row r="71" spans="1:13" x14ac:dyDescent="0.3">
      <c r="A71" t="s">
        <v>83</v>
      </c>
      <c r="B71" s="174" t="s">
        <v>143</v>
      </c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68"/>
    </row>
    <row r="72" spans="1:13" x14ac:dyDescent="0.3">
      <c r="B72" s="146" t="s">
        <v>144</v>
      </c>
    </row>
    <row r="73" spans="1:13" x14ac:dyDescent="0.3">
      <c r="B73" s="80" t="s">
        <v>116</v>
      </c>
      <c r="C73" s="24">
        <f>IFERROR('Cash Flow Data'!C5,0)</f>
        <v>38626</v>
      </c>
      <c r="D73" s="24">
        <f>IFERROR('Cash Flow Data'!D5,0)</f>
        <v>28840</v>
      </c>
      <c r="E73" s="24">
        <f>IFERROR('Cash Flow Data'!E5,0)</f>
        <v>33312</v>
      </c>
      <c r="F73" s="24">
        <f>IFERROR('Cash Flow Data'!F5,0)</f>
        <v>28771</v>
      </c>
      <c r="G73" s="24">
        <f>IFERROR('Cash Flow Data'!G5,0)</f>
        <v>23352</v>
      </c>
      <c r="H73" s="24">
        <f>IFERROR('Cash Flow Data'!H5,0)</f>
        <v>31198</v>
      </c>
      <c r="I73" s="24">
        <f>IFERROR('Cash Flow Data'!I5,0)</f>
        <v>26943</v>
      </c>
      <c r="J73" s="24">
        <f>IFERROR('Cash Flow Data'!J5,0)</f>
        <v>41694</v>
      </c>
      <c r="K73" s="24">
        <f>IFERROR('Cash Flow Data'!K5,0)</f>
        <v>65106</v>
      </c>
      <c r="L73" s="24">
        <f>IFERROR('Cash Flow Data'!L5,0)</f>
        <v>58937</v>
      </c>
    </row>
    <row r="74" spans="1:13" x14ac:dyDescent="0.3">
      <c r="B74" s="30" t="s">
        <v>69</v>
      </c>
      <c r="C74" s="24">
        <f>IFERROR('Cash Flow Data'!C6,0)</f>
        <v>-2223</v>
      </c>
      <c r="D74" s="24">
        <f>IFERROR('Cash Flow Data'!D6,0)</f>
        <v>-4152</v>
      </c>
      <c r="E74" s="24">
        <f>IFERROR('Cash Flow Data'!E6,0)</f>
        <v>-10688</v>
      </c>
      <c r="F74" s="24">
        <f>IFERROR('Cash Flow Data'!F6,0)</f>
        <v>-9109</v>
      </c>
      <c r="G74" s="24">
        <f>IFERROR('Cash Flow Data'!G6,0)</f>
        <v>9950</v>
      </c>
      <c r="H74" s="24">
        <f>IFERROR('Cash Flow Data'!H6,0)</f>
        <v>-5505</v>
      </c>
      <c r="I74" s="24">
        <f>IFERROR('Cash Flow Data'!I6,0)</f>
        <v>185</v>
      </c>
      <c r="J74" s="24">
        <f>IFERROR('Cash Flow Data'!J6,0)</f>
        <v>-2213</v>
      </c>
      <c r="K74" s="24">
        <f>IFERROR('Cash Flow Data'!K6,0)</f>
        <v>-1876</v>
      </c>
      <c r="L74" s="24">
        <f>IFERROR('Cash Flow Data'!L6,0)</f>
        <v>3573</v>
      </c>
    </row>
    <row r="75" spans="1:13" x14ac:dyDescent="0.3">
      <c r="B75" s="30" t="s">
        <v>45</v>
      </c>
      <c r="C75" s="24">
        <f>IFERROR('Cash Flow Data'!C7,0)</f>
        <v>-5743</v>
      </c>
      <c r="D75" s="24">
        <f>IFERROR('Cash Flow Data'!D7,0)</f>
        <v>-6621</v>
      </c>
      <c r="E75" s="24">
        <f>IFERROR('Cash Flow Data'!E7,0)</f>
        <v>-3560</v>
      </c>
      <c r="F75" s="24">
        <f>IFERROR('Cash Flow Data'!F7,0)</f>
        <v>2069</v>
      </c>
      <c r="G75" s="24">
        <f>IFERROR('Cash Flow Data'!G7,0)</f>
        <v>2326</v>
      </c>
      <c r="H75" s="24">
        <f>IFERROR('Cash Flow Data'!H7,0)</f>
        <v>3814</v>
      </c>
      <c r="I75" s="24">
        <f>IFERROR('Cash Flow Data'!I7,0)</f>
        <v>472</v>
      </c>
      <c r="J75" s="24">
        <f>IFERROR('Cash Flow Data'!J7,0)</f>
        <v>-5665</v>
      </c>
      <c r="K75" s="24">
        <f>IFERROR('Cash Flow Data'!K7,0)</f>
        <v>-7265</v>
      </c>
      <c r="L75" s="24">
        <f>IFERROR('Cash Flow Data'!L7,0)</f>
        <v>2127</v>
      </c>
    </row>
    <row r="76" spans="1:13" x14ac:dyDescent="0.3">
      <c r="B76" s="30" t="s">
        <v>117</v>
      </c>
      <c r="C76" s="24">
        <f>IFERROR('Cash Flow Data'!C8,0)</f>
        <v>3947</v>
      </c>
      <c r="D76" s="24">
        <f>IFERROR('Cash Flow Data'!D8,0)</f>
        <v>9301</v>
      </c>
      <c r="E76" s="24">
        <f>IFERROR('Cash Flow Data'!E8,0)</f>
        <v>7320</v>
      </c>
      <c r="F76" s="24">
        <f>IFERROR('Cash Flow Data'!F8,0)</f>
        <v>-4692</v>
      </c>
      <c r="G76" s="24">
        <f>IFERROR('Cash Flow Data'!G8,0)</f>
        <v>-8085</v>
      </c>
      <c r="H76" s="24">
        <f>IFERROR('Cash Flow Data'!H8,0)</f>
        <v>5748</v>
      </c>
      <c r="I76" s="24">
        <f>IFERROR('Cash Flow Data'!I8,0)</f>
        <v>-7012</v>
      </c>
      <c r="J76" s="24">
        <f>IFERROR('Cash Flow Data'!J8,0)</f>
        <v>6945</v>
      </c>
      <c r="K76" s="24">
        <f>IFERROR('Cash Flow Data'!K8,0)</f>
        <v>13706</v>
      </c>
      <c r="L76" s="24">
        <f>IFERROR('Cash Flow Data'!L8,0)</f>
        <v>1303</v>
      </c>
    </row>
    <row r="77" spans="1:13" x14ac:dyDescent="0.3">
      <c r="B77" s="30" t="s">
        <v>118</v>
      </c>
      <c r="C77" s="24">
        <f>IFERROR('Cash Flow Data'!C9,0)</f>
        <v>-520</v>
      </c>
      <c r="D77" s="24">
        <f>IFERROR('Cash Flow Data'!D9,0)</f>
        <v>0</v>
      </c>
      <c r="E77" s="24">
        <f>IFERROR('Cash Flow Data'!E9,0)</f>
        <v>0</v>
      </c>
      <c r="F77" s="24">
        <f>IFERROR('Cash Flow Data'!F9,0)</f>
        <v>0</v>
      </c>
      <c r="G77" s="24">
        <f>IFERROR('Cash Flow Data'!G9,0)</f>
        <v>0</v>
      </c>
      <c r="H77" s="24">
        <f>IFERROR('Cash Flow Data'!H9,0)</f>
        <v>0</v>
      </c>
      <c r="I77" s="24">
        <f>IFERROR('Cash Flow Data'!I9,0)</f>
        <v>0</v>
      </c>
      <c r="J77" s="24">
        <f>IFERROR('Cash Flow Data'!J9,0)</f>
        <v>0</v>
      </c>
      <c r="K77" s="24">
        <f>IFERROR('Cash Flow Data'!K9,0)</f>
        <v>0</v>
      </c>
      <c r="L77" s="24">
        <f>IFERROR('Cash Flow Data'!L9,0)</f>
        <v>0</v>
      </c>
    </row>
    <row r="78" spans="1:13" x14ac:dyDescent="0.3">
      <c r="B78" s="30" t="s">
        <v>119</v>
      </c>
      <c r="C78" s="24">
        <f>IFERROR('Cash Flow Data'!C10,0)</f>
        <v>5852</v>
      </c>
      <c r="D78" s="24">
        <f>IFERROR('Cash Flow Data'!D10,0)</f>
        <v>4727</v>
      </c>
      <c r="E78" s="24">
        <f>IFERROR('Cash Flow Data'!E10,0)</f>
        <v>494</v>
      </c>
      <c r="F78" s="24">
        <f>IFERROR('Cash Flow Data'!F10,0)</f>
        <v>4512</v>
      </c>
      <c r="G78" s="24">
        <f>IFERROR('Cash Flow Data'!G10,0)</f>
        <v>875</v>
      </c>
      <c r="H78" s="24">
        <f>IFERROR('Cash Flow Data'!H10,0)</f>
        <v>-4150</v>
      </c>
      <c r="I78" s="24">
        <f>IFERROR('Cash Flow Data'!I10,0)</f>
        <v>-4396</v>
      </c>
      <c r="J78" s="24">
        <f>IFERROR('Cash Flow Data'!J10,0)</f>
        <v>-2194</v>
      </c>
      <c r="K78" s="24">
        <f>IFERROR('Cash Flow Data'!K10,0)</f>
        <v>2760</v>
      </c>
      <c r="L78" s="24">
        <f>IFERROR('Cash Flow Data'!L10,0)</f>
        <v>1153</v>
      </c>
    </row>
    <row r="79" spans="1:13" x14ac:dyDescent="0.3">
      <c r="B79" s="80" t="s">
        <v>120</v>
      </c>
      <c r="C79" s="24">
        <f>IFERROR('Cash Flow Data'!C11,0)</f>
        <v>1313</v>
      </c>
      <c r="D79" s="24">
        <f>IFERROR('Cash Flow Data'!D11,0)</f>
        <v>3254</v>
      </c>
      <c r="E79" s="24">
        <f>IFERROR('Cash Flow Data'!E11,0)</f>
        <v>-6434</v>
      </c>
      <c r="F79" s="24">
        <f>IFERROR('Cash Flow Data'!F11,0)</f>
        <v>-7221</v>
      </c>
      <c r="G79" s="24">
        <f>IFERROR('Cash Flow Data'!G11,0)</f>
        <v>5065</v>
      </c>
      <c r="H79" s="24">
        <f>IFERROR('Cash Flow Data'!H11,0)</f>
        <v>-93</v>
      </c>
      <c r="I79" s="24">
        <f>IFERROR('Cash Flow Data'!I11,0)</f>
        <v>-10750</v>
      </c>
      <c r="J79" s="24">
        <f>IFERROR('Cash Flow Data'!J11,0)</f>
        <v>-3127</v>
      </c>
      <c r="K79" s="24">
        <f>IFERROR('Cash Flow Data'!K11,0)</f>
        <v>7325</v>
      </c>
      <c r="L79" s="24">
        <f>IFERROR('Cash Flow Data'!L11,0)</f>
        <v>8156</v>
      </c>
    </row>
    <row r="80" spans="1:13" x14ac:dyDescent="0.3">
      <c r="B80" s="30" t="s">
        <v>121</v>
      </c>
      <c r="C80" s="24">
        <f>IFERROR('Cash Flow Data'!C12,0)</f>
        <v>-2040</v>
      </c>
      <c r="D80" s="24">
        <f>IFERROR('Cash Flow Data'!D12,0)</f>
        <v>-1895</v>
      </c>
      <c r="E80" s="24">
        <f>IFERROR('Cash Flow Data'!E12,0)</f>
        <v>-3021</v>
      </c>
      <c r="F80" s="24">
        <f>IFERROR('Cash Flow Data'!F12,0)</f>
        <v>-2659</v>
      </c>
      <c r="G80" s="24">
        <f>IFERROR('Cash Flow Data'!G12,0)</f>
        <v>-1785</v>
      </c>
      <c r="H80" s="24">
        <f>IFERROR('Cash Flow Data'!H12,0)</f>
        <v>-2105</v>
      </c>
      <c r="I80" s="24">
        <f>IFERROR('Cash Flow Data'!I12,0)</f>
        <v>-1910</v>
      </c>
      <c r="J80" s="24">
        <f>IFERROR('Cash Flow Data'!J12,0)</f>
        <v>-3179</v>
      </c>
      <c r="K80" s="24">
        <f>IFERROR('Cash Flow Data'!K12,0)</f>
        <v>-4516</v>
      </c>
      <c r="L80" s="24">
        <f>IFERROR('Cash Flow Data'!L12,0)</f>
        <v>-3991</v>
      </c>
    </row>
    <row r="81" spans="2:12" x14ac:dyDescent="0.3">
      <c r="B81" s="147" t="s">
        <v>145</v>
      </c>
      <c r="C81" s="24">
        <f>C73+C79+C80</f>
        <v>37899</v>
      </c>
      <c r="D81" s="24">
        <f t="shared" ref="D81:L81" si="21">D73+D79+D80</f>
        <v>30199</v>
      </c>
      <c r="E81" s="24">
        <f t="shared" si="21"/>
        <v>23857</v>
      </c>
      <c r="F81" s="24">
        <f t="shared" si="21"/>
        <v>18891</v>
      </c>
      <c r="G81" s="24">
        <f t="shared" si="21"/>
        <v>26632</v>
      </c>
      <c r="H81" s="24">
        <f t="shared" si="21"/>
        <v>29000</v>
      </c>
      <c r="I81" s="24">
        <f t="shared" si="21"/>
        <v>14283</v>
      </c>
      <c r="J81" s="24">
        <f t="shared" si="21"/>
        <v>35388</v>
      </c>
      <c r="K81" s="24">
        <f t="shared" si="21"/>
        <v>67915</v>
      </c>
      <c r="L81" s="24">
        <f t="shared" si="21"/>
        <v>63102</v>
      </c>
    </row>
    <row r="83" spans="2:12" x14ac:dyDescent="0.3">
      <c r="B83" s="148" t="s">
        <v>146</v>
      </c>
    </row>
    <row r="84" spans="2:12" x14ac:dyDescent="0.3">
      <c r="B84" s="36" t="s">
        <v>123</v>
      </c>
      <c r="C84" s="24">
        <f>IFERROR('Cash Flow Data'!C14,0)</f>
        <v>-31503</v>
      </c>
      <c r="D84" s="24">
        <f>IFERROR('Cash Flow Data'!D14,0)</f>
        <v>-16072</v>
      </c>
      <c r="E84" s="24">
        <f>IFERROR('Cash Flow Data'!E14,0)</f>
        <v>-35079</v>
      </c>
      <c r="F84" s="24">
        <f>IFERROR('Cash Flow Data'!F14,0)</f>
        <v>-35304</v>
      </c>
      <c r="G84" s="24">
        <f>IFERROR('Cash Flow Data'!G14,0)</f>
        <v>-29702</v>
      </c>
      <c r="H84" s="24">
        <f>IFERROR('Cash Flow Data'!H14,0)</f>
        <v>-20205</v>
      </c>
      <c r="I84" s="24">
        <f>IFERROR('Cash Flow Data'!I14,0)</f>
        <v>-15168</v>
      </c>
      <c r="J84" s="24">
        <f>IFERROR('Cash Flow Data'!J14,0)</f>
        <v>-19230</v>
      </c>
      <c r="K84" s="24">
        <f>IFERROR('Cash Flow Data'!K14,0)</f>
        <v>-31414</v>
      </c>
      <c r="L84" s="24">
        <f>IFERROR('Cash Flow Data'!L14,0)</f>
        <v>-38042</v>
      </c>
    </row>
    <row r="85" spans="2:12" x14ac:dyDescent="0.3">
      <c r="B85" s="36" t="s">
        <v>124</v>
      </c>
      <c r="C85" s="24">
        <f>IFERROR('Cash Flow Data'!C15,0)</f>
        <v>59</v>
      </c>
      <c r="D85" s="24">
        <f>IFERROR('Cash Flow Data'!D15,0)</f>
        <v>53</v>
      </c>
      <c r="E85" s="24">
        <f>IFERROR('Cash Flow Data'!E15,0)</f>
        <v>30</v>
      </c>
      <c r="F85" s="24">
        <f>IFERROR('Cash Flow Data'!F15,0)</f>
        <v>67</v>
      </c>
      <c r="G85" s="24">
        <f>IFERROR('Cash Flow Data'!G15,0)</f>
        <v>171</v>
      </c>
      <c r="H85" s="24">
        <f>IFERROR('Cash Flow Data'!H15,0)</f>
        <v>351</v>
      </c>
      <c r="I85" s="24">
        <f>IFERROR('Cash Flow Data'!I15,0)</f>
        <v>230</v>
      </c>
      <c r="J85" s="24">
        <f>IFERROR('Cash Flow Data'!J15,0)</f>
        <v>285</v>
      </c>
      <c r="K85" s="24">
        <f>IFERROR('Cash Flow Data'!K15,0)</f>
        <v>231</v>
      </c>
      <c r="L85" s="24">
        <f>IFERROR('Cash Flow Data'!L15,0)</f>
        <v>974</v>
      </c>
    </row>
    <row r="86" spans="2:12" x14ac:dyDescent="0.3">
      <c r="B86" s="36" t="s">
        <v>125</v>
      </c>
      <c r="C86" s="24">
        <f>IFERROR('Cash Flow Data'!C16,0)</f>
        <v>-4728</v>
      </c>
      <c r="D86" s="24">
        <f>IFERROR('Cash Flow Data'!D16,0)</f>
        <v>-6</v>
      </c>
      <c r="E86" s="24">
        <f>IFERROR('Cash Flow Data'!E16,0)</f>
        <v>-329</v>
      </c>
      <c r="F86" s="24">
        <f>IFERROR('Cash Flow Data'!F16,0)</f>
        <v>-130</v>
      </c>
      <c r="G86" s="24">
        <f>IFERROR('Cash Flow Data'!G16,0)</f>
        <v>-1439</v>
      </c>
      <c r="H86" s="24">
        <f>IFERROR('Cash Flow Data'!H16,0)</f>
        <v>-7530</v>
      </c>
      <c r="I86" s="24">
        <f>IFERROR('Cash Flow Data'!I16,0)</f>
        <v>-3008</v>
      </c>
      <c r="J86" s="24">
        <f>IFERROR('Cash Flow Data'!J16,0)</f>
        <v>-50</v>
      </c>
      <c r="K86" s="24">
        <f>IFERROR('Cash Flow Data'!K16,0)</f>
        <v>-74</v>
      </c>
      <c r="L86" s="24">
        <f>IFERROR('Cash Flow Data'!L16,0)</f>
        <v>-12677</v>
      </c>
    </row>
    <row r="87" spans="2:12" x14ac:dyDescent="0.3">
      <c r="B87" s="36" t="s">
        <v>126</v>
      </c>
      <c r="C87" s="24">
        <f>IFERROR('Cash Flow Data'!C17,0)</f>
        <v>89</v>
      </c>
      <c r="D87" s="24">
        <f>IFERROR('Cash Flow Data'!D17,0)</f>
        <v>1965</v>
      </c>
      <c r="E87" s="24">
        <f>IFERROR('Cash Flow Data'!E17,0)</f>
        <v>2381</v>
      </c>
      <c r="F87" s="24">
        <f>IFERROR('Cash Flow Data'!F17,0)</f>
        <v>5644</v>
      </c>
      <c r="G87" s="24">
        <f>IFERROR('Cash Flow Data'!G17,0)</f>
        <v>21</v>
      </c>
      <c r="H87" s="24">
        <f>IFERROR('Cash Flow Data'!H17,0)</f>
        <v>226</v>
      </c>
      <c r="I87" s="24">
        <f>IFERROR('Cash Flow Data'!I17,0)</f>
        <v>104</v>
      </c>
      <c r="J87" s="24">
        <f>IFERROR('Cash Flow Data'!J17,0)</f>
        <v>6895</v>
      </c>
      <c r="K87" s="24">
        <f>IFERROR('Cash Flow Data'!K17,0)</f>
        <v>10821</v>
      </c>
      <c r="L87" s="24">
        <f>IFERROR('Cash Flow Data'!L17,0)</f>
        <v>111</v>
      </c>
    </row>
    <row r="88" spans="2:12" x14ac:dyDescent="0.3">
      <c r="B88" s="36" t="s">
        <v>127</v>
      </c>
      <c r="C88" s="24">
        <f>IFERROR('Cash Flow Data'!C18,0)</f>
        <v>731</v>
      </c>
      <c r="D88" s="24">
        <f>IFERROR('Cash Flow Data'!D18,0)</f>
        <v>638</v>
      </c>
      <c r="E88" s="24">
        <f>IFERROR('Cash Flow Data'!E18,0)</f>
        <v>690</v>
      </c>
      <c r="F88" s="24">
        <f>IFERROR('Cash Flow Data'!F18,0)</f>
        <v>761</v>
      </c>
      <c r="G88" s="24">
        <f>IFERROR('Cash Flow Data'!G18,0)</f>
        <v>1104</v>
      </c>
      <c r="H88" s="24">
        <f>IFERROR('Cash Flow Data'!H18,0)</f>
        <v>428</v>
      </c>
      <c r="I88" s="24">
        <f>IFERROR('Cash Flow Data'!I18,0)</f>
        <v>653</v>
      </c>
      <c r="J88" s="24">
        <f>IFERROR('Cash Flow Data'!J18,0)</f>
        <v>973</v>
      </c>
      <c r="K88" s="24">
        <f>IFERROR('Cash Flow Data'!K18,0)</f>
        <v>2493</v>
      </c>
      <c r="L88" s="24">
        <f>IFERROR('Cash Flow Data'!L18,0)</f>
        <v>2420</v>
      </c>
    </row>
    <row r="89" spans="2:12" x14ac:dyDescent="0.3">
      <c r="B89" s="36" t="s">
        <v>128</v>
      </c>
      <c r="C89" s="24">
        <f>IFERROR('Cash Flow Data'!C19,0)</f>
        <v>58</v>
      </c>
      <c r="D89" s="24">
        <f>IFERROR('Cash Flow Data'!D19,0)</f>
        <v>620</v>
      </c>
      <c r="E89" s="24">
        <f>IFERROR('Cash Flow Data'!E19,0)</f>
        <v>1797</v>
      </c>
      <c r="F89" s="24">
        <f>IFERROR('Cash Flow Data'!F19,0)</f>
        <v>232</v>
      </c>
      <c r="G89" s="24">
        <f>IFERROR('Cash Flow Data'!G19,0)</f>
        <v>21</v>
      </c>
      <c r="H89" s="24">
        <f>IFERROR('Cash Flow Data'!H19,0)</f>
        <v>18</v>
      </c>
      <c r="I89" s="24">
        <f>IFERROR('Cash Flow Data'!I19,0)</f>
        <v>32</v>
      </c>
      <c r="J89" s="24">
        <f>IFERROR('Cash Flow Data'!J19,0)</f>
        <v>46</v>
      </c>
      <c r="K89" s="24">
        <f>IFERROR('Cash Flow Data'!K19,0)</f>
        <v>47</v>
      </c>
      <c r="L89" s="24">
        <f>IFERROR('Cash Flow Data'!L19,0)</f>
        <v>64</v>
      </c>
    </row>
    <row r="90" spans="2:12" x14ac:dyDescent="0.3">
      <c r="B90" s="36" t="s">
        <v>129</v>
      </c>
      <c r="C90" s="24">
        <f>IFERROR('Cash Flow Data'!C20,0)</f>
        <v>0</v>
      </c>
      <c r="D90" s="24">
        <f>IFERROR('Cash Flow Data'!D20,0)</f>
        <v>-107</v>
      </c>
      <c r="E90" s="24">
        <f>IFERROR('Cash Flow Data'!E20,0)</f>
        <v>-4</v>
      </c>
      <c r="F90" s="24">
        <f>IFERROR('Cash Flow Data'!F20,0)</f>
        <v>-9</v>
      </c>
      <c r="G90" s="24">
        <f>IFERROR('Cash Flow Data'!G20,0)</f>
        <v>-606</v>
      </c>
      <c r="H90" s="24">
        <f>IFERROR('Cash Flow Data'!H20,0)</f>
        <v>-10</v>
      </c>
      <c r="I90" s="24">
        <f>IFERROR('Cash Flow Data'!I20,0)</f>
        <v>0</v>
      </c>
      <c r="J90" s="24">
        <f>IFERROR('Cash Flow Data'!J20,0)</f>
        <v>0</v>
      </c>
      <c r="K90" s="24">
        <f>IFERROR('Cash Flow Data'!K20,0)</f>
        <v>-150</v>
      </c>
      <c r="L90" s="24">
        <f>IFERROR('Cash Flow Data'!L20,0)</f>
        <v>0</v>
      </c>
    </row>
    <row r="91" spans="2:12" x14ac:dyDescent="0.3">
      <c r="B91" s="36" t="s">
        <v>130</v>
      </c>
      <c r="C91" s="24">
        <f>IFERROR('Cash Flow Data'!C21,0)</f>
        <v>0</v>
      </c>
      <c r="D91" s="24">
        <f>IFERROR('Cash Flow Data'!D21,0)</f>
        <v>0</v>
      </c>
      <c r="E91" s="24">
        <f>IFERROR('Cash Flow Data'!E21,0)</f>
        <v>14</v>
      </c>
      <c r="F91" s="24">
        <f>IFERROR('Cash Flow Data'!F21,0)</f>
        <v>533</v>
      </c>
      <c r="G91" s="24">
        <f>IFERROR('Cash Flow Data'!G21,0)</f>
        <v>0</v>
      </c>
      <c r="H91" s="24">
        <f>IFERROR('Cash Flow Data'!H21,0)</f>
        <v>0</v>
      </c>
      <c r="I91" s="24">
        <f>IFERROR('Cash Flow Data'!I21,0)</f>
        <v>0</v>
      </c>
      <c r="J91" s="24">
        <f>IFERROR('Cash Flow Data'!J21,0)</f>
        <v>19</v>
      </c>
      <c r="K91" s="24">
        <f>IFERROR('Cash Flow Data'!K21,0)</f>
        <v>107</v>
      </c>
      <c r="L91" s="24">
        <f>IFERROR('Cash Flow Data'!L21,0)</f>
        <v>765</v>
      </c>
    </row>
    <row r="92" spans="2:12" x14ac:dyDescent="0.3">
      <c r="B92" s="36" t="s">
        <v>131</v>
      </c>
      <c r="C92" s="24">
        <f>IFERROR('Cash Flow Data'!C22,0)</f>
        <v>-111</v>
      </c>
      <c r="D92" s="24">
        <f>IFERROR('Cash Flow Data'!D22,0)</f>
        <v>0</v>
      </c>
      <c r="E92" s="24">
        <f>IFERROR('Cash Flow Data'!E22,0)</f>
        <v>0</v>
      </c>
      <c r="F92" s="24">
        <f>IFERROR('Cash Flow Data'!F22,0)</f>
        <v>-8</v>
      </c>
      <c r="G92" s="24">
        <f>IFERROR('Cash Flow Data'!G22,0)</f>
        <v>-27</v>
      </c>
      <c r="H92" s="24">
        <f>IFERROR('Cash Flow Data'!H22,0)</f>
        <v>0</v>
      </c>
      <c r="I92" s="24">
        <f>IFERROR('Cash Flow Data'!I22,0)</f>
        <v>-98</v>
      </c>
      <c r="J92" s="24">
        <f>IFERROR('Cash Flow Data'!J22,0)</f>
        <v>0</v>
      </c>
      <c r="K92" s="24">
        <f>IFERROR('Cash Flow Data'!K22,0)</f>
        <v>0</v>
      </c>
      <c r="L92" s="24">
        <f>IFERROR('Cash Flow Data'!L22,0)</f>
        <v>-688</v>
      </c>
    </row>
    <row r="93" spans="2:12" x14ac:dyDescent="0.3">
      <c r="B93" s="36" t="s">
        <v>132</v>
      </c>
      <c r="C93" s="24">
        <f>IFERROR('Cash Flow Data'!C23,0)</f>
        <v>0</v>
      </c>
      <c r="D93" s="24">
        <f>IFERROR('Cash Flow Data'!D23,0)</f>
        <v>0</v>
      </c>
      <c r="E93" s="24">
        <f>IFERROR('Cash Flow Data'!E23,0)</f>
        <v>0</v>
      </c>
      <c r="F93" s="24">
        <f>IFERROR('Cash Flow Data'!F23,0)</f>
        <v>0</v>
      </c>
      <c r="G93" s="24">
        <f>IFERROR('Cash Flow Data'!G23,0)</f>
        <v>0</v>
      </c>
      <c r="H93" s="24">
        <f>IFERROR('Cash Flow Data'!H23,0)</f>
        <v>0</v>
      </c>
      <c r="I93" s="24">
        <f>IFERROR('Cash Flow Data'!I23,0)</f>
        <v>0</v>
      </c>
      <c r="J93" s="24">
        <f>IFERROR('Cash Flow Data'!J23,0)</f>
        <v>0</v>
      </c>
      <c r="K93" s="24">
        <f>IFERROR('Cash Flow Data'!K23,0)</f>
        <v>-25</v>
      </c>
      <c r="L93" s="24">
        <f>IFERROR('Cash Flow Data'!L23,0)</f>
        <v>-20</v>
      </c>
    </row>
    <row r="94" spans="2:12" x14ac:dyDescent="0.3">
      <c r="B94" s="36" t="s">
        <v>133</v>
      </c>
      <c r="C94" s="24">
        <f>IFERROR('Cash Flow Data'!C24,0)</f>
        <v>-1289</v>
      </c>
      <c r="D94" s="24">
        <f>IFERROR('Cash Flow Data'!D24,0)</f>
        <v>-26663</v>
      </c>
      <c r="E94" s="24">
        <f>IFERROR('Cash Flow Data'!E24,0)</f>
        <v>5360</v>
      </c>
      <c r="F94" s="24">
        <f>IFERROR('Cash Flow Data'!F24,0)</f>
        <v>7335</v>
      </c>
      <c r="G94" s="24">
        <f>IFERROR('Cash Flow Data'!G24,0)</f>
        <v>-2659</v>
      </c>
      <c r="H94" s="24">
        <f>IFERROR('Cash Flow Data'!H24,0)</f>
        <v>1051</v>
      </c>
      <c r="I94" s="24">
        <f>IFERROR('Cash Flow Data'!I24,0)</f>
        <v>12813</v>
      </c>
      <c r="J94" s="24">
        <f>IFERROR('Cash Flow Data'!J24,0)</f>
        <v>-4357</v>
      </c>
      <c r="K94" s="24">
        <f>IFERROR('Cash Flow Data'!K24,0)</f>
        <v>-4817</v>
      </c>
      <c r="L94" s="24">
        <f>IFERROR('Cash Flow Data'!L24,0)</f>
        <v>-2889</v>
      </c>
    </row>
    <row r="95" spans="2:12" x14ac:dyDescent="0.3">
      <c r="B95" s="148" t="s">
        <v>147</v>
      </c>
      <c r="C95" s="144">
        <f>SUM(C84:C94)</f>
        <v>-36694</v>
      </c>
      <c r="D95" s="144">
        <f t="shared" ref="D95:L95" si="22">SUM(D84:D94)</f>
        <v>-39572</v>
      </c>
      <c r="E95" s="144">
        <f t="shared" si="22"/>
        <v>-25140</v>
      </c>
      <c r="F95" s="144">
        <f t="shared" si="22"/>
        <v>-20879</v>
      </c>
      <c r="G95" s="144">
        <f t="shared" si="22"/>
        <v>-33116</v>
      </c>
      <c r="H95" s="144">
        <f t="shared" si="22"/>
        <v>-25671</v>
      </c>
      <c r="I95" s="144">
        <f t="shared" si="22"/>
        <v>-4442</v>
      </c>
      <c r="J95" s="144">
        <f t="shared" si="22"/>
        <v>-15419</v>
      </c>
      <c r="K95" s="144">
        <f t="shared" si="22"/>
        <v>-22781</v>
      </c>
      <c r="L95" s="144">
        <f t="shared" si="22"/>
        <v>-49982</v>
      </c>
    </row>
    <row r="97" spans="2:12" x14ac:dyDescent="0.3">
      <c r="B97" s="147" t="s">
        <v>149</v>
      </c>
    </row>
    <row r="98" spans="2:12" x14ac:dyDescent="0.3">
      <c r="B98" s="30" t="s">
        <v>135</v>
      </c>
      <c r="C98" s="24">
        <f>IFERROR('Cash Flow Data'!C26,0)</f>
        <v>7433</v>
      </c>
      <c r="D98" s="24">
        <f>IFERROR('Cash Flow Data'!D26,0)</f>
        <v>5</v>
      </c>
      <c r="E98" s="24">
        <f>IFERROR('Cash Flow Data'!E26,0)</f>
        <v>0</v>
      </c>
      <c r="F98" s="24">
        <f>IFERROR('Cash Flow Data'!F26,0)</f>
        <v>0</v>
      </c>
      <c r="G98" s="24">
        <f>IFERROR('Cash Flow Data'!G26,0)</f>
        <v>3889</v>
      </c>
      <c r="H98" s="24">
        <f>IFERROR('Cash Flow Data'!H26,0)</f>
        <v>2603</v>
      </c>
      <c r="I98" s="24">
        <f>IFERROR('Cash Flow Data'!I26,0)</f>
        <v>19</v>
      </c>
      <c r="J98" s="24">
        <f>IFERROR('Cash Flow Data'!J26,0)</f>
        <v>20</v>
      </c>
      <c r="K98" s="24">
        <f>IFERROR('Cash Flow Data'!K26,0)</f>
        <v>82</v>
      </c>
      <c r="L98" s="24">
        <f>IFERROR('Cash Flow Data'!L26,0)</f>
        <v>1108</v>
      </c>
    </row>
    <row r="99" spans="2:12" x14ac:dyDescent="0.3">
      <c r="B99" s="30" t="s">
        <v>136</v>
      </c>
      <c r="C99" s="24">
        <f>IFERROR('Cash Flow Data'!C27,0)</f>
        <v>0</v>
      </c>
      <c r="D99" s="24">
        <f>IFERROR('Cash Flow Data'!D27,0)</f>
        <v>0</v>
      </c>
      <c r="E99" s="24">
        <f>IFERROR('Cash Flow Data'!E27,0)</f>
        <v>0</v>
      </c>
      <c r="F99" s="24">
        <f>IFERROR('Cash Flow Data'!F27,0)</f>
        <v>0</v>
      </c>
      <c r="G99" s="24">
        <f>IFERROR('Cash Flow Data'!G27,0)</f>
        <v>0</v>
      </c>
      <c r="H99" s="24">
        <f>IFERROR('Cash Flow Data'!H27,0)</f>
        <v>0</v>
      </c>
      <c r="I99" s="24">
        <f>IFERROR('Cash Flow Data'!I27,0)</f>
        <v>0</v>
      </c>
      <c r="J99" s="24">
        <f>IFERROR('Cash Flow Data'!J27,0)</f>
        <v>0</v>
      </c>
      <c r="K99" s="24">
        <f>IFERROR('Cash Flow Data'!K27,0)</f>
        <v>0</v>
      </c>
      <c r="L99" s="24">
        <f>IFERROR('Cash Flow Data'!L27,0)</f>
        <v>0</v>
      </c>
    </row>
    <row r="100" spans="2:12" x14ac:dyDescent="0.3">
      <c r="B100" s="30" t="s">
        <v>137</v>
      </c>
      <c r="C100" s="24">
        <f>IFERROR('Cash Flow Data'!C28,0)</f>
        <v>19519</v>
      </c>
      <c r="D100" s="24">
        <f>IFERROR('Cash Flow Data'!D28,0)</f>
        <v>33390</v>
      </c>
      <c r="E100" s="24">
        <f>IFERROR('Cash Flow Data'!E28,0)</f>
        <v>37482</v>
      </c>
      <c r="F100" s="24">
        <f>IFERROR('Cash Flow Data'!F28,0)</f>
        <v>51128</v>
      </c>
      <c r="G100" s="24">
        <f>IFERROR('Cash Flow Data'!G28,0)</f>
        <v>38297</v>
      </c>
      <c r="H100" s="24">
        <f>IFERROR('Cash Flow Data'!H28,0)</f>
        <v>46641</v>
      </c>
      <c r="I100" s="24">
        <f>IFERROR('Cash Flow Data'!I28,0)</f>
        <v>46578</v>
      </c>
      <c r="J100" s="24">
        <f>IFERROR('Cash Flow Data'!J28,0)</f>
        <v>43934</v>
      </c>
      <c r="K100" s="24">
        <f>IFERROR('Cash Flow Data'!K28,0)</f>
        <v>18829</v>
      </c>
      <c r="L100" s="24">
        <f>IFERROR('Cash Flow Data'!L28,0)</f>
        <v>13384</v>
      </c>
    </row>
    <row r="101" spans="2:12" x14ac:dyDescent="0.3">
      <c r="B101" s="30" t="s">
        <v>138</v>
      </c>
      <c r="C101" s="24">
        <f>IFERROR('Cash Flow Data'!C29,0)</f>
        <v>-24924</v>
      </c>
      <c r="D101" s="24">
        <f>IFERROR('Cash Flow Data'!D29,0)</f>
        <v>-21732</v>
      </c>
      <c r="E101" s="24">
        <f>IFERROR('Cash Flow Data'!E29,0)</f>
        <v>-29964</v>
      </c>
      <c r="F101" s="24">
        <f>IFERROR('Cash Flow Data'!F29,0)</f>
        <v>-35198</v>
      </c>
      <c r="G101" s="24">
        <f>IFERROR('Cash Flow Data'!G29,0)</f>
        <v>-29847</v>
      </c>
      <c r="H101" s="24">
        <f>IFERROR('Cash Flow Data'!H29,0)</f>
        <v>-29709</v>
      </c>
      <c r="I101" s="24">
        <f>IFERROR('Cash Flow Data'!I29,0)</f>
        <v>-42816</v>
      </c>
      <c r="J101" s="24">
        <f>IFERROR('Cash Flow Data'!J29,0)</f>
        <v>-62557</v>
      </c>
      <c r="K101" s="24">
        <f>IFERROR('Cash Flow Data'!K29,0)</f>
        <v>-47414</v>
      </c>
      <c r="L101" s="24">
        <f>IFERROR('Cash Flow Data'!L29,0)</f>
        <v>-21443</v>
      </c>
    </row>
    <row r="102" spans="2:12" x14ac:dyDescent="0.3">
      <c r="B102" s="30" t="s">
        <v>139</v>
      </c>
      <c r="C102" s="24">
        <f>IFERROR('Cash Flow Data'!C30,0)</f>
        <v>-5716</v>
      </c>
      <c r="D102" s="24">
        <f>IFERROR('Cash Flow Data'!D30,0)</f>
        <v>-5336</v>
      </c>
      <c r="E102" s="24">
        <f>IFERROR('Cash Flow Data'!E30,0)</f>
        <v>-5411</v>
      </c>
      <c r="F102" s="24">
        <f>IFERROR('Cash Flow Data'!F30,0)</f>
        <v>-7005</v>
      </c>
      <c r="G102" s="24">
        <f>IFERROR('Cash Flow Data'!G30,0)</f>
        <v>-7518</v>
      </c>
      <c r="H102" s="24">
        <f>IFERROR('Cash Flow Data'!H30,0)</f>
        <v>-8123</v>
      </c>
      <c r="I102" s="24">
        <f>IFERROR('Cash Flow Data'!I30,0)</f>
        <v>-9251</v>
      </c>
      <c r="J102" s="24">
        <f>IFERROR('Cash Flow Data'!J30,0)</f>
        <v>-9336</v>
      </c>
      <c r="K102" s="24">
        <f>IFERROR('Cash Flow Data'!K30,0)</f>
        <v>-9332</v>
      </c>
      <c r="L102" s="24">
        <f>IFERROR('Cash Flow Data'!L30,0)</f>
        <v>-5814</v>
      </c>
    </row>
    <row r="103" spans="2:12" x14ac:dyDescent="0.3">
      <c r="B103" s="30" t="s">
        <v>140</v>
      </c>
      <c r="C103" s="24">
        <f>IFERROR('Cash Flow Data'!C31,0)</f>
        <v>-108</v>
      </c>
      <c r="D103" s="24">
        <f>IFERROR('Cash Flow Data'!D31,0)</f>
        <v>-121</v>
      </c>
      <c r="E103" s="24">
        <f>IFERROR('Cash Flow Data'!E31,0)</f>
        <v>-96</v>
      </c>
      <c r="F103" s="24">
        <f>IFERROR('Cash Flow Data'!F31,0)</f>
        <v>-95</v>
      </c>
      <c r="G103" s="24">
        <f>IFERROR('Cash Flow Data'!G31,0)</f>
        <v>-57</v>
      </c>
      <c r="H103" s="24">
        <f>IFERROR('Cash Flow Data'!H31,0)</f>
        <v>-30</v>
      </c>
      <c r="I103" s="24">
        <f>IFERROR('Cash Flow Data'!I31,0)</f>
        <v>-100</v>
      </c>
      <c r="J103" s="24">
        <f>IFERROR('Cash Flow Data'!J31,0)</f>
        <v>-141</v>
      </c>
      <c r="K103" s="24">
        <f>IFERROR('Cash Flow Data'!K31,0)</f>
        <v>-1059</v>
      </c>
      <c r="L103" s="24">
        <f>IFERROR('Cash Flow Data'!L31,0)</f>
        <v>-2492</v>
      </c>
    </row>
    <row r="104" spans="2:12" x14ac:dyDescent="0.3">
      <c r="B104" s="30" t="s">
        <v>141</v>
      </c>
      <c r="C104" s="24">
        <f>IFERROR('Cash Flow Data'!C32,0)</f>
        <v>0</v>
      </c>
      <c r="D104" s="24">
        <f>IFERROR('Cash Flow Data'!D32,0)</f>
        <v>0</v>
      </c>
      <c r="E104" s="24">
        <f>IFERROR('Cash Flow Data'!E32,0)</f>
        <v>0</v>
      </c>
      <c r="F104" s="24">
        <f>IFERROR('Cash Flow Data'!F32,0)</f>
        <v>0</v>
      </c>
      <c r="G104" s="24">
        <f>IFERROR('Cash Flow Data'!G32,0)</f>
        <v>-1346</v>
      </c>
      <c r="H104" s="24">
        <f>IFERROR('Cash Flow Data'!H32,0)</f>
        <v>-1477</v>
      </c>
      <c r="I104" s="24">
        <f>IFERROR('Cash Flow Data'!I32,0)</f>
        <v>-1559</v>
      </c>
      <c r="J104" s="24">
        <f>IFERROR('Cash Flow Data'!J32,0)</f>
        <v>-1517</v>
      </c>
      <c r="K104" s="24">
        <f>IFERROR('Cash Flow Data'!K32,0)</f>
        <v>-1924</v>
      </c>
      <c r="L104" s="24">
        <f>IFERROR('Cash Flow Data'!L32,0)</f>
        <v>-2393</v>
      </c>
    </row>
    <row r="105" spans="2:12" x14ac:dyDescent="0.3">
      <c r="B105" s="30" t="s">
        <v>142</v>
      </c>
      <c r="C105" s="24">
        <f>IFERROR('Cash Flow Data'!C33,0)</f>
        <v>0</v>
      </c>
      <c r="D105" s="24">
        <f>IFERROR('Cash Flow Data'!D33,0)</f>
        <v>0</v>
      </c>
      <c r="E105" s="24">
        <f>IFERROR('Cash Flow Data'!E33,0)</f>
        <v>0</v>
      </c>
      <c r="F105" s="24">
        <f>IFERROR('Cash Flow Data'!F33,0)</f>
        <v>0</v>
      </c>
      <c r="G105" s="24">
        <f>IFERROR('Cash Flow Data'!G33,0)</f>
        <v>-29</v>
      </c>
      <c r="H105" s="24">
        <f>IFERROR('Cash Flow Data'!H33,0)</f>
        <v>0</v>
      </c>
      <c r="I105" s="24">
        <f>IFERROR('Cash Flow Data'!I33,0)</f>
        <v>3750</v>
      </c>
      <c r="J105" s="24">
        <f>IFERROR('Cash Flow Data'!J33,0)</f>
        <v>3355</v>
      </c>
      <c r="K105" s="24">
        <f>IFERROR('Cash Flow Data'!K33,0)</f>
        <v>3812</v>
      </c>
      <c r="L105" s="24">
        <f>IFERROR('Cash Flow Data'!L33,0)</f>
        <v>-1136</v>
      </c>
    </row>
    <row r="106" spans="2:12" x14ac:dyDescent="0.3">
      <c r="B106" s="147" t="s">
        <v>148</v>
      </c>
      <c r="C106" s="144">
        <f>SUM(C98:C105)</f>
        <v>-3796</v>
      </c>
      <c r="D106" s="144">
        <f t="shared" ref="D106:L106" si="23">SUM(D98:D105)</f>
        <v>6206</v>
      </c>
      <c r="E106" s="144">
        <f t="shared" si="23"/>
        <v>2011</v>
      </c>
      <c r="F106" s="144">
        <f t="shared" si="23"/>
        <v>8830</v>
      </c>
      <c r="G106" s="144">
        <f t="shared" si="23"/>
        <v>3389</v>
      </c>
      <c r="H106" s="144">
        <f t="shared" si="23"/>
        <v>9905</v>
      </c>
      <c r="I106" s="144">
        <f t="shared" si="23"/>
        <v>-3379</v>
      </c>
      <c r="J106" s="144">
        <f t="shared" si="23"/>
        <v>-26242</v>
      </c>
      <c r="K106" s="144">
        <f t="shared" si="23"/>
        <v>-37006</v>
      </c>
      <c r="L106" s="144">
        <f t="shared" si="23"/>
        <v>-18786</v>
      </c>
    </row>
    <row r="107" spans="2:12" x14ac:dyDescent="0.3"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2:12" x14ac:dyDescent="0.3">
      <c r="B108" s="42" t="s">
        <v>35</v>
      </c>
      <c r="C108" s="144">
        <f>C81+C106+C95</f>
        <v>-2591</v>
      </c>
      <c r="D108" s="144">
        <f t="shared" ref="D108:L108" si="24">D81+D106+D95</f>
        <v>-3167</v>
      </c>
      <c r="E108" s="144">
        <f t="shared" si="24"/>
        <v>728</v>
      </c>
      <c r="F108" s="144">
        <f t="shared" si="24"/>
        <v>6842</v>
      </c>
      <c r="G108" s="144">
        <f t="shared" si="24"/>
        <v>-3095</v>
      </c>
      <c r="H108" s="144">
        <f t="shared" si="24"/>
        <v>13234</v>
      </c>
      <c r="I108" s="144">
        <f t="shared" si="24"/>
        <v>6462</v>
      </c>
      <c r="J108" s="144">
        <f t="shared" si="24"/>
        <v>-6273</v>
      </c>
      <c r="K108" s="144">
        <f t="shared" si="24"/>
        <v>8128</v>
      </c>
      <c r="L108" s="144">
        <f t="shared" si="24"/>
        <v>-5666</v>
      </c>
    </row>
  </sheetData>
  <mergeCells count="3">
    <mergeCell ref="B2:M2"/>
    <mergeCell ref="B46:L46"/>
    <mergeCell ref="B71:L71"/>
  </mergeCells>
  <pageMargins left="0.7" right="0.7" top="0.75" bottom="0.75" header="0.3" footer="0.3"/>
  <ignoredErrors>
    <ignoredError sqref="C14:L14 M5 M20 M23 M29 M32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87CC-F14E-4516-8AEB-B8F6D9304FC6}">
  <dimension ref="B2:L39"/>
  <sheetViews>
    <sheetView workbookViewId="0">
      <selection activeCell="B24" sqref="B24:L24"/>
    </sheetView>
  </sheetViews>
  <sheetFormatPr defaultRowHeight="14.4" x14ac:dyDescent="0.3"/>
  <cols>
    <col min="1" max="1" width="1.88671875" customWidth="1"/>
    <col min="2" max="2" width="29.109375" bestFit="1" customWidth="1"/>
    <col min="3" max="3" width="10.5546875" bestFit="1" customWidth="1"/>
  </cols>
  <sheetData>
    <row r="2" spans="2:12" x14ac:dyDescent="0.3">
      <c r="B2" s="177" t="str">
        <f>"Common Size"&amp;" "&amp;"-"&amp;'Data Sheet'!B1</f>
        <v>Common Size -TATA MOTORS LTD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</row>
    <row r="4" spans="2:12" x14ac:dyDescent="0.3">
      <c r="B4" s="151" t="s">
        <v>296</v>
      </c>
      <c r="C4" s="152">
        <f>'Data Sheet'!B56</f>
        <v>42460</v>
      </c>
      <c r="D4" s="152">
        <f>'Data Sheet'!C56</f>
        <v>42825</v>
      </c>
      <c r="E4" s="152">
        <f>'Data Sheet'!D56</f>
        <v>43190</v>
      </c>
      <c r="F4" s="152">
        <f>'Data Sheet'!E56</f>
        <v>43555</v>
      </c>
      <c r="G4" s="152">
        <f>'Data Sheet'!F56</f>
        <v>43921</v>
      </c>
      <c r="H4" s="152">
        <f>'Data Sheet'!G56</f>
        <v>44286</v>
      </c>
      <c r="I4" s="152">
        <f>'Data Sheet'!H56</f>
        <v>44651</v>
      </c>
      <c r="J4" s="152">
        <f>'Data Sheet'!I56</f>
        <v>45016</v>
      </c>
      <c r="K4" s="152">
        <f>'Data Sheet'!J56</f>
        <v>45382</v>
      </c>
      <c r="L4" s="152">
        <f>'Data Sheet'!K56</f>
        <v>45747</v>
      </c>
    </row>
    <row r="5" spans="2:12" x14ac:dyDescent="0.3">
      <c r="B5" s="149" t="str">
        <f>'Data Sheet'!A17</f>
        <v>Sales</v>
      </c>
      <c r="C5" s="150">
        <f>'Data Sheet'!B17/'Data Sheet'!B$17</f>
        <v>1</v>
      </c>
      <c r="D5" s="150">
        <f>'Data Sheet'!C17/'Data Sheet'!C$17</f>
        <v>1</v>
      </c>
      <c r="E5" s="150">
        <f>'Data Sheet'!D17/'Data Sheet'!D$17</f>
        <v>1</v>
      </c>
      <c r="F5" s="150">
        <f>'Data Sheet'!E17/'Data Sheet'!E$17</f>
        <v>1</v>
      </c>
      <c r="G5" s="150">
        <f>'Data Sheet'!F17/'Data Sheet'!F$17</f>
        <v>1</v>
      </c>
      <c r="H5" s="150">
        <f>'Data Sheet'!G17/'Data Sheet'!G$17</f>
        <v>1</v>
      </c>
      <c r="I5" s="150">
        <f>'Data Sheet'!H17/'Data Sheet'!H$17</f>
        <v>1</v>
      </c>
      <c r="J5" s="150">
        <f>'Data Sheet'!I17/'Data Sheet'!I$17</f>
        <v>1</v>
      </c>
      <c r="K5" s="150">
        <f>'Data Sheet'!J17/'Data Sheet'!J$17</f>
        <v>1</v>
      </c>
      <c r="L5" s="150">
        <f>'Data Sheet'!K17/'Data Sheet'!K$17</f>
        <v>1</v>
      </c>
    </row>
    <row r="6" spans="2:12" x14ac:dyDescent="0.3">
      <c r="B6" s="149" t="str">
        <f>'Data Sheet'!A18</f>
        <v>Raw Material Cost</v>
      </c>
      <c r="C6" s="150">
        <f>'Data Sheet'!B18/'Data Sheet'!B$17</f>
        <v>0.60844785632875986</v>
      </c>
      <c r="D6" s="150">
        <f>'Data Sheet'!C18/'Data Sheet'!C$17</f>
        <v>0.64256170851760019</v>
      </c>
      <c r="E6" s="150">
        <f>'Data Sheet'!D18/'Data Sheet'!D$17</f>
        <v>0.6444735745247272</v>
      </c>
      <c r="F6" s="150">
        <f>'Data Sheet'!E18/'Data Sheet'!E$17</f>
        <v>0.64340246222408271</v>
      </c>
      <c r="G6" s="150">
        <f>'Data Sheet'!F18/'Data Sheet'!F$17</f>
        <v>0.63163558516963991</v>
      </c>
      <c r="H6" s="150">
        <f>'Data Sheet'!G18/'Data Sheet'!G$17</f>
        <v>0.6149343010611712</v>
      </c>
      <c r="I6" s="150">
        <f>'Data Sheet'!H18/'Data Sheet'!H$17</f>
        <v>0.64389656704768283</v>
      </c>
      <c r="J6" s="150">
        <f>'Data Sheet'!I18/'Data Sheet'!I$17</f>
        <v>0.66842005177546293</v>
      </c>
      <c r="K6" s="150">
        <f>'Data Sheet'!J18/'Data Sheet'!J$17</f>
        <v>0.63205273538302731</v>
      </c>
      <c r="L6" s="150">
        <f>'Data Sheet'!K18/'Data Sheet'!K$17</f>
        <v>0.61167400129635319</v>
      </c>
    </row>
    <row r="7" spans="2:12" x14ac:dyDescent="0.3">
      <c r="B7" s="149" t="str">
        <f>'Data Sheet'!A19</f>
        <v>Change in Inventory</v>
      </c>
      <c r="C7" s="150">
        <f>'Data Sheet'!B19/'Data Sheet'!B$17</f>
        <v>1.0075203555743071E-2</v>
      </c>
      <c r="D7" s="150">
        <f>'Data Sheet'!C19/'Data Sheet'!C$17</f>
        <v>2.7438359337454348E-2</v>
      </c>
      <c r="E7" s="150">
        <f>'Data Sheet'!D19/'Data Sheet'!D$17</f>
        <v>7.0196420187680708E-3</v>
      </c>
      <c r="F7" s="150">
        <f>'Data Sheet'!E19/'Data Sheet'!E$17</f>
        <v>-6.8003274840166073E-3</v>
      </c>
      <c r="G7" s="150">
        <f>'Data Sheet'!F19/'Data Sheet'!F$17</f>
        <v>-8.5463950250197294E-3</v>
      </c>
      <c r="H7" s="150">
        <f>'Data Sheet'!G19/'Data Sheet'!G$17</f>
        <v>-1.8752035421080705E-2</v>
      </c>
      <c r="I7" s="150">
        <f>'Data Sheet'!H19/'Data Sheet'!H$17</f>
        <v>-5.7118668451859233E-3</v>
      </c>
      <c r="J7" s="150">
        <f>'Data Sheet'!I19/'Data Sheet'!I$17</f>
        <v>1.3821030371772196E-2</v>
      </c>
      <c r="K7" s="150">
        <f>'Data Sheet'!J19/'Data Sheet'!J$17</f>
        <v>3.6081619110816189E-3</v>
      </c>
      <c r="L7" s="150">
        <f>'Data Sheet'!K19/'Data Sheet'!K$17</f>
        <v>-6.4499255165512458E-3</v>
      </c>
    </row>
    <row r="8" spans="2:12" x14ac:dyDescent="0.3">
      <c r="B8" s="149" t="str">
        <f>'Data Sheet'!A20</f>
        <v>Power and Fuel</v>
      </c>
      <c r="C8" s="150">
        <f>'Data Sheet'!B20/'Data Sheet'!B$17</f>
        <v>4.1884212746881849E-3</v>
      </c>
      <c r="D8" s="150">
        <f>'Data Sheet'!C20/'Data Sheet'!C$17</f>
        <v>4.3005272931013168E-3</v>
      </c>
      <c r="E8" s="150">
        <f>'Data Sheet'!D20/'Data Sheet'!D$17</f>
        <v>4.4866329837632236E-3</v>
      </c>
      <c r="F8" s="150">
        <f>'Data Sheet'!E20/'Data Sheet'!E$17</f>
        <v>5.252495210943689E-3</v>
      </c>
      <c r="G8" s="150">
        <f>'Data Sheet'!F20/'Data Sheet'!F$17</f>
        <v>4.8452899066859867E-3</v>
      </c>
      <c r="H8" s="150">
        <f>'Data Sheet'!G20/'Data Sheet'!G$17</f>
        <v>4.4551376680254488E-3</v>
      </c>
      <c r="I8" s="150">
        <f>'Data Sheet'!H20/'Data Sheet'!H$17</f>
        <v>7.8228108508698862E-3</v>
      </c>
      <c r="J8" s="150">
        <f>'Data Sheet'!I20/'Data Sheet'!I$17</f>
        <v>7.2646530389880865E-3</v>
      </c>
      <c r="K8" s="150">
        <f>'Data Sheet'!J20/'Data Sheet'!J$17</f>
        <v>5.0435928629359288E-3</v>
      </c>
      <c r="L8" s="150">
        <f>'Data Sheet'!K20/'Data Sheet'!K$17</f>
        <v>5.5561241315002447E-3</v>
      </c>
    </row>
    <row r="9" spans="2:12" x14ac:dyDescent="0.3">
      <c r="B9" s="149" t="str">
        <f>'Data Sheet'!A21</f>
        <v>Other Mfr. Exp</v>
      </c>
      <c r="C9" s="150">
        <f>'Data Sheet'!B21/'Data Sheet'!B$17</f>
        <v>4.4320545725695638E-2</v>
      </c>
      <c r="D9" s="150">
        <f>'Data Sheet'!C21/'Data Sheet'!C$17</f>
        <v>3.7329067833585743E-2</v>
      </c>
      <c r="E9" s="150">
        <f>'Data Sheet'!D21/'Data Sheet'!D$17</f>
        <v>3.7632110912662539E-2</v>
      </c>
      <c r="F9" s="150">
        <f>'Data Sheet'!E21/'Data Sheet'!E$17</f>
        <v>3.8731542592793759E-2</v>
      </c>
      <c r="G9" s="150">
        <f>'Data Sheet'!F21/'Data Sheet'!F$17</f>
        <v>4.4208831899217663E-2</v>
      </c>
      <c r="H9" s="150">
        <f>'Data Sheet'!G21/'Data Sheet'!G$17</f>
        <v>3.3119871414431248E-2</v>
      </c>
      <c r="I9" s="150">
        <f>'Data Sheet'!H21/'Data Sheet'!H$17</f>
        <v>3.3856194794666339E-2</v>
      </c>
      <c r="J9" s="150">
        <f>'Data Sheet'!I21/'Data Sheet'!I$17</f>
        <v>3.4008940217616732E-2</v>
      </c>
      <c r="K9" s="150">
        <f>'Data Sheet'!J21/'Data Sheet'!J$17</f>
        <v>4.019667477696675E-2</v>
      </c>
      <c r="L9" s="150">
        <f>'Data Sheet'!K21/'Data Sheet'!K$17</f>
        <v>4.2786476989731516E-2</v>
      </c>
    </row>
    <row r="10" spans="2:12" x14ac:dyDescent="0.3">
      <c r="B10" s="149" t="str">
        <f>'Data Sheet'!A22</f>
        <v>Employee Cost</v>
      </c>
      <c r="C10" s="150">
        <f>'Data Sheet'!B22/'Data Sheet'!B$17</f>
        <v>0.10577313825968997</v>
      </c>
      <c r="D10" s="150">
        <f>'Data Sheet'!C22/'Data Sheet'!C$17</f>
        <v>0.10505627316086753</v>
      </c>
      <c r="E10" s="150">
        <f>'Data Sheet'!D22/'Data Sheet'!D$17</f>
        <v>0.10392742279141506</v>
      </c>
      <c r="F10" s="150">
        <f>'Data Sheet'!E22/'Data Sheet'!E$17</f>
        <v>0.11010149752399827</v>
      </c>
      <c r="G10" s="150">
        <f>'Data Sheet'!F22/'Data Sheet'!F$17</f>
        <v>0.11659262528451882</v>
      </c>
      <c r="H10" s="150">
        <f>'Data Sheet'!G22/'Data Sheet'!G$17</f>
        <v>0.11068479221440802</v>
      </c>
      <c r="I10" s="150">
        <f>'Data Sheet'!H22/'Data Sheet'!H$17</f>
        <v>0.11064147774412127</v>
      </c>
      <c r="J10" s="150">
        <f>'Data Sheet'!I22/'Data Sheet'!I$17</f>
        <v>9.7277205393335675E-2</v>
      </c>
      <c r="K10" s="150">
        <f>'Data Sheet'!J22/'Data Sheet'!J$17</f>
        <v>9.674758534247585E-2</v>
      </c>
      <c r="L10" s="150">
        <f>'Data Sheet'!K22/'Data Sheet'!K$17</f>
        <v>0.10863666859982488</v>
      </c>
    </row>
    <row r="11" spans="2:12" x14ac:dyDescent="0.3">
      <c r="B11" s="149" t="str">
        <f>'Data Sheet'!A23</f>
        <v>Selling and admin</v>
      </c>
      <c r="C11" s="150">
        <f>'Data Sheet'!B23/'Data Sheet'!B$17</f>
        <v>8.0542956927341092E-2</v>
      </c>
      <c r="D11" s="150">
        <f>'Data Sheet'!C23/'Data Sheet'!C$17</f>
        <v>0.1113838126242364</v>
      </c>
      <c r="E11" s="150">
        <f>'Data Sheet'!D23/'Data Sheet'!D$17</f>
        <v>0.10634377964323709</v>
      </c>
      <c r="F11" s="150">
        <f>'Data Sheet'!E23/'Data Sheet'!E$17</f>
        <v>0.1083658123643763</v>
      </c>
      <c r="G11" s="150">
        <f>'Data Sheet'!F23/'Data Sheet'!F$17</f>
        <v>0.11203335284677013</v>
      </c>
      <c r="H11" s="150">
        <f>'Data Sheet'!G23/'Data Sheet'!G$17</f>
        <v>9.2138805959692913E-2</v>
      </c>
      <c r="I11" s="150">
        <f>'Data Sheet'!H23/'Data Sheet'!H$17</f>
        <v>0.10488425325553319</v>
      </c>
      <c r="J11" s="150">
        <f>'Data Sheet'!I23/'Data Sheet'!I$17</f>
        <v>0.10070091373173573</v>
      </c>
      <c r="K11" s="150">
        <f>'Data Sheet'!J23/'Data Sheet'!J$17</f>
        <v>9.853323379783234E-2</v>
      </c>
      <c r="L11" s="150">
        <f>'Data Sheet'!K23/'Data Sheet'!K$17</f>
        <v>0.10711743367561605</v>
      </c>
    </row>
    <row r="12" spans="2:12" x14ac:dyDescent="0.3">
      <c r="B12" s="149" t="str">
        <f>'Data Sheet'!A24</f>
        <v>Other Expenses</v>
      </c>
      <c r="C12" s="150">
        <f>'Data Sheet'!B24/'Data Sheet'!B$17</f>
        <v>2.6183831565130516E-2</v>
      </c>
      <c r="D12" s="150">
        <f>'Data Sheet'!C24/'Data Sheet'!C$17</f>
        <v>1.7094282670289951E-2</v>
      </c>
      <c r="E12" s="150">
        <f>'Data Sheet'!D24/'Data Sheet'!D$17</f>
        <v>2.2582367211331639E-3</v>
      </c>
      <c r="F12" s="150">
        <f>'Data Sheet'!E24/'Data Sheet'!E$17</f>
        <v>5.6592338039812094E-3</v>
      </c>
      <c r="G12" s="150">
        <f>'Data Sheet'!F24/'Data Sheet'!F$17</f>
        <v>1.3239885383105405E-2</v>
      </c>
      <c r="H12" s="150">
        <f>'Data Sheet'!G24/'Data Sheet'!G$17</f>
        <v>-3.3407827826645677E-3</v>
      </c>
      <c r="I12" s="150">
        <f>'Data Sheet'!H24/'Data Sheet'!H$17</f>
        <v>4.4105011096641517E-3</v>
      </c>
      <c r="J12" s="150">
        <f>'Data Sheet'!I24/'Data Sheet'!I$17</f>
        <v>1.4187308112100993E-2</v>
      </c>
      <c r="K12" s="150">
        <f>'Data Sheet'!J24/'Data Sheet'!J$17</f>
        <v>-2.1957715844577157E-3</v>
      </c>
      <c r="L12" s="150">
        <f>'Data Sheet'!K24/'Data Sheet'!K$17</f>
        <v>-7.7985876573533923E-3</v>
      </c>
    </row>
    <row r="13" spans="2:12" x14ac:dyDescent="0.3">
      <c r="B13" s="149" t="str">
        <f>'Data Sheet'!A25</f>
        <v>Other Income</v>
      </c>
      <c r="C13" s="150">
        <f>'Data Sheet'!B25/'Data Sheet'!B$17</f>
        <v>-9.7771947249836663E-3</v>
      </c>
      <c r="D13" s="150">
        <f>'Data Sheet'!C25/'Data Sheet'!C$17</f>
        <v>6.9304853887117582E-3</v>
      </c>
      <c r="E13" s="150">
        <f>'Data Sheet'!D25/'Data Sheet'!D$17</f>
        <v>2.034889464081829E-2</v>
      </c>
      <c r="F13" s="150">
        <f>'Data Sheet'!E25/'Data Sheet'!E$17</f>
        <v>-8.8383094035074702E-2</v>
      </c>
      <c r="G13" s="150">
        <f>'Data Sheet'!F25/'Data Sheet'!F$17</f>
        <v>3.8959202846676288E-4</v>
      </c>
      <c r="H13" s="150">
        <f>'Data Sheet'!G25/'Data Sheet'!G$17</f>
        <v>-4.4507860953843105E-2</v>
      </c>
      <c r="I13" s="150">
        <f>'Data Sheet'!H25/'Data Sheet'!H$17</f>
        <v>8.7053994844814731E-3</v>
      </c>
      <c r="J13" s="150">
        <f>'Data Sheet'!I25/'Data Sheet'!I$17</f>
        <v>1.9261867686386363E-2</v>
      </c>
      <c r="K13" s="150">
        <f>'Data Sheet'!J25/'Data Sheet'!J$17</f>
        <v>1.1041067610410677E-2</v>
      </c>
      <c r="L13" s="150">
        <f>'Data Sheet'!K25/'Data Sheet'!K$17</f>
        <v>2.6777652691069947E-2</v>
      </c>
    </row>
    <row r="14" spans="2:12" x14ac:dyDescent="0.3">
      <c r="B14" s="149" t="str">
        <f>'Data Sheet'!A26</f>
        <v>Depreciation</v>
      </c>
      <c r="C14" s="150">
        <f>'Data Sheet'!B26/'Data Sheet'!B$17</f>
        <v>6.1201425695927715E-2</v>
      </c>
      <c r="D14" s="150">
        <f>'Data Sheet'!C26/'Data Sheet'!C$17</f>
        <v>6.63903865924938E-2</v>
      </c>
      <c r="E14" s="150">
        <f>'Data Sheet'!D26/'Data Sheet'!D$17</f>
        <v>7.3927472182518786E-2</v>
      </c>
      <c r="F14" s="150">
        <f>'Data Sheet'!E26/'Data Sheet'!E$17</f>
        <v>7.8130605447998658E-2</v>
      </c>
      <c r="G14" s="150">
        <f>'Data Sheet'!F26/'Data Sheet'!F$17</f>
        <v>8.206839774331566E-2</v>
      </c>
      <c r="H14" s="150">
        <f>'Data Sheet'!G26/'Data Sheet'!G$17</f>
        <v>9.4264230933596482E-2</v>
      </c>
      <c r="I14" s="150">
        <f>'Data Sheet'!H26/'Data Sheet'!H$17</f>
        <v>8.9191478279219347E-2</v>
      </c>
      <c r="J14" s="150">
        <f>'Data Sheet'!I26/'Data Sheet'!I$17</f>
        <v>7.1857611147098821E-2</v>
      </c>
      <c r="K14" s="150">
        <f>'Data Sheet'!J26/'Data Sheet'!J$17</f>
        <v>6.2760359065103591E-2</v>
      </c>
      <c r="L14" s="150">
        <f>'Data Sheet'!K26/'Data Sheet'!K$17</f>
        <v>5.2891208678743216E-2</v>
      </c>
    </row>
    <row r="15" spans="2:12" x14ac:dyDescent="0.3">
      <c r="B15" s="149" t="str">
        <f>'Data Sheet'!A27</f>
        <v>Interest</v>
      </c>
      <c r="C15" s="150">
        <f>'Data Sheet'!B27/'Data Sheet'!B$17</f>
        <v>1.7905727101993223E-2</v>
      </c>
      <c r="D15" s="150">
        <f>'Data Sheet'!C27/'Data Sheet'!C$17</f>
        <v>1.5714229512714312E-2</v>
      </c>
      <c r="E15" s="150">
        <f>'Data Sheet'!D27/'Data Sheet'!D$17</f>
        <v>1.605824830060304E-2</v>
      </c>
      <c r="F15" s="150">
        <f>'Data Sheet'!E27/'Data Sheet'!E$17</f>
        <v>1.9072102124141878E-2</v>
      </c>
      <c r="G15" s="150">
        <f>'Data Sheet'!F27/'Data Sheet'!F$17</f>
        <v>2.7744996829752802E-2</v>
      </c>
      <c r="H15" s="150">
        <f>'Data Sheet'!G27/'Data Sheet'!G$17</f>
        <v>3.2415292955516477E-2</v>
      </c>
      <c r="I15" s="150">
        <f>'Data Sheet'!H27/'Data Sheet'!H$17</f>
        <v>3.3441332168710897E-2</v>
      </c>
      <c r="J15" s="150">
        <f>'Data Sheet'!I27/'Data Sheet'!I$17</f>
        <v>2.9556231914277829E-2</v>
      </c>
      <c r="K15" s="150">
        <f>'Data Sheet'!J27/'Data Sheet'!J$17</f>
        <v>1.7497050799970507E-2</v>
      </c>
      <c r="L15" s="150">
        <f>'Data Sheet'!K27/'Data Sheet'!K$17</f>
        <v>1.1560286107415368E-2</v>
      </c>
    </row>
    <row r="16" spans="2:12" x14ac:dyDescent="0.3">
      <c r="B16" s="149" t="str">
        <f>'Data Sheet'!A28</f>
        <v>Profit before tax</v>
      </c>
      <c r="C16" s="150">
        <f>'Data Sheet'!B28/'Data Sheet'!B$17</f>
        <v>5.1734105951533375E-2</v>
      </c>
      <c r="D16" s="150">
        <f>'Data Sheet'!C28/'Data Sheet'!C$17</f>
        <v>3.453855652127677E-2</v>
      </c>
      <c r="E16" s="150">
        <f>'Data Sheet'!D28/'Data Sheet'!D$17</f>
        <v>3.8261058599526235E-2</v>
      </c>
      <c r="F16" s="150">
        <f>'Data Sheet'!E28/'Data Sheet'!E$17</f>
        <v>-0.10389917281140788</v>
      </c>
      <c r="G16" s="150">
        <f>'Data Sheet'!F28/'Data Sheet'!F$17</f>
        <v>-4.0525768059559354E-2</v>
      </c>
      <c r="H16" s="150">
        <f>'Data Sheet'!G28/'Data Sheet'!G$17</f>
        <v>-4.1931545799101064E-2</v>
      </c>
      <c r="I16" s="150">
        <f>'Data Sheet'!H28/'Data Sheet'!H$17</f>
        <v>-2.5151082611172375E-2</v>
      </c>
      <c r="J16" s="150">
        <f>'Data Sheet'!I28/'Data Sheet'!I$17</f>
        <v>9.809982727541881E-3</v>
      </c>
      <c r="K16" s="150">
        <f>'Data Sheet'!J28/'Data Sheet'!J$17</f>
        <v>6.4013769077637686E-2</v>
      </c>
      <c r="L16" s="150">
        <f>'Data Sheet'!K28/'Data Sheet'!K$17</f>
        <v>8.7904115352687662E-2</v>
      </c>
    </row>
    <row r="17" spans="2:12" x14ac:dyDescent="0.3">
      <c r="B17" s="149" t="str">
        <f>'Data Sheet'!A29</f>
        <v>Tax</v>
      </c>
      <c r="C17" s="150">
        <f>'Data Sheet'!B29/'Data Sheet'!B$17</f>
        <v>1.1078918686109574E-2</v>
      </c>
      <c r="D17" s="150">
        <f>'Data Sheet'!C29/'Data Sheet'!C$17</f>
        <v>1.2055321818169885E-2</v>
      </c>
      <c r="E17" s="150">
        <f>'Data Sheet'!D29/'Data Sheet'!D$17</f>
        <v>1.4892549653836963E-2</v>
      </c>
      <c r="F17" s="150">
        <f>'Data Sheet'!E29/'Data Sheet'!E$17</f>
        <v>-8.0726731015332912E-3</v>
      </c>
      <c r="G17" s="150">
        <f>'Data Sheet'!F29/'Data Sheet'!F$17</f>
        <v>1.5139735448971392E-3</v>
      </c>
      <c r="H17" s="150">
        <f>'Data Sheet'!G29/'Data Sheet'!G$17</f>
        <v>1.0175794327142584E-2</v>
      </c>
      <c r="I17" s="150">
        <f>'Data Sheet'!H29/'Data Sheet'!H$17</f>
        <v>1.5195672442685429E-2</v>
      </c>
      <c r="J17" s="150">
        <f>'Data Sheet'!I29/'Data Sheet'!I$17</f>
        <v>2.0350497621203548E-3</v>
      </c>
      <c r="K17" s="150">
        <f>'Data Sheet'!J29/'Data Sheet'!J$17</f>
        <v>-9.2715475927154754E-3</v>
      </c>
      <c r="L17" s="150">
        <f>'Data Sheet'!K29/'Data Sheet'!K$17</f>
        <v>2.3884738284492661E-2</v>
      </c>
    </row>
    <row r="18" spans="2:12" x14ac:dyDescent="0.3">
      <c r="B18" s="149" t="str">
        <f>'Data Sheet'!A30</f>
        <v>Net profit</v>
      </c>
      <c r="C18" s="150">
        <f>'Data Sheet'!B30/'Data Sheet'!B$17</f>
        <v>4.2407971415763523E-2</v>
      </c>
      <c r="D18" s="150">
        <f>'Data Sheet'!C30/'Data Sheet'!C$17</f>
        <v>2.764021885516954E-2</v>
      </c>
      <c r="E18" s="150">
        <f>'Data Sheet'!D30/'Data Sheet'!D$17</f>
        <v>3.0831401821049997E-2</v>
      </c>
      <c r="F18" s="150">
        <f>'Data Sheet'!E30/'Data Sheet'!E$17</f>
        <v>-9.5470566181711222E-2</v>
      </c>
      <c r="G18" s="150">
        <f>'Data Sheet'!F30/'Data Sheet'!F$17</f>
        <v>-4.6236426475450051E-2</v>
      </c>
      <c r="H18" s="150">
        <f>'Data Sheet'!G30/'Data Sheet'!G$17</f>
        <v>-5.3849770661713266E-2</v>
      </c>
      <c r="I18" s="150">
        <f>'Data Sheet'!H30/'Data Sheet'!H$17</f>
        <v>-4.1089320368684734E-2</v>
      </c>
      <c r="J18" s="150">
        <f>'Data Sheet'!I30/'Data Sheet'!I$17</f>
        <v>6.9783829363826268E-3</v>
      </c>
      <c r="K18" s="150">
        <f>'Data Sheet'!J30/'Data Sheet'!J$17</f>
        <v>7.2345259160952594E-2</v>
      </c>
      <c r="L18" s="150">
        <f>'Data Sheet'!K30/'Data Sheet'!K$17</f>
        <v>6.3293874162771921E-2</v>
      </c>
    </row>
    <row r="19" spans="2:12" x14ac:dyDescent="0.3">
      <c r="B19" s="149" t="str">
        <f>'Data Sheet'!A31</f>
        <v>Dividend Amount</v>
      </c>
      <c r="C19" s="150">
        <f>'Data Sheet'!B31/'Data Sheet'!B$17</f>
        <v>2.487496593975512E-4</v>
      </c>
      <c r="D19" s="150">
        <f>'Data Sheet'!C31/'Data Sheet'!C$17</f>
        <v>0</v>
      </c>
      <c r="E19" s="150">
        <f>'Data Sheet'!D31/'Data Sheet'!D$17</f>
        <v>0</v>
      </c>
      <c r="F19" s="150">
        <f>'Data Sheet'!E31/'Data Sheet'!E$17</f>
        <v>0</v>
      </c>
      <c r="G19" s="150">
        <f>'Data Sheet'!F31/'Data Sheet'!F$17</f>
        <v>0</v>
      </c>
      <c r="H19" s="150">
        <f>'Data Sheet'!G31/'Data Sheet'!G$17</f>
        <v>0</v>
      </c>
      <c r="I19" s="150">
        <f>'Data Sheet'!H31/'Data Sheet'!H$17</f>
        <v>0</v>
      </c>
      <c r="J19" s="150">
        <f>'Data Sheet'!I31/'Data Sheet'!I$17</f>
        <v>2.2141420032091505E-3</v>
      </c>
      <c r="K19" s="150">
        <f>'Data Sheet'!J31/'Data Sheet'!J$17</f>
        <v>5.3016478655164784E-3</v>
      </c>
      <c r="L19" s="150">
        <f>'Data Sheet'!K31/'Data Sheet'!K$17</f>
        <v>5.0216627434926482E-3</v>
      </c>
    </row>
    <row r="20" spans="2:12" x14ac:dyDescent="0.3">
      <c r="B20" s="149" t="str">
        <f>'Data Sheet'!A32</f>
        <v xml:space="preserve">EBITDA </v>
      </c>
      <c r="C20" s="150">
        <f>'Data Sheet'!B32/'Data Sheet'!B$17</f>
        <v>0.13259404289979404</v>
      </c>
      <c r="D20" s="150">
        <f>'Data Sheet'!C32/'Data Sheet'!C$17</f>
        <v>0.12180015677854752</v>
      </c>
      <c r="E20" s="150">
        <f>'Data Sheet'!D32/'Data Sheet'!D$17</f>
        <v>0.13570967195800879</v>
      </c>
      <c r="F20" s="150">
        <f>'Data Sheet'!E32/'Data Sheet'!E$17</f>
        <v>-6.3405317111039769E-3</v>
      </c>
      <c r="G20" s="150">
        <f>'Data Sheet'!F32/'Data Sheet'!F$17</f>
        <v>6.5090941642515554E-2</v>
      </c>
      <c r="H20" s="150">
        <f>'Data Sheet'!G32/'Data Sheet'!G$17</f>
        <v>8.3005547554542272E-2</v>
      </c>
      <c r="I20" s="150">
        <f>'Data Sheet'!H32/'Data Sheet'!H$17</f>
        <v>9.6739162521930933E-2</v>
      </c>
      <c r="J20" s="150">
        <f>'Data Sheet'!I32/'Data Sheet'!I$17</f>
        <v>0.11042727575987964</v>
      </c>
      <c r="K20" s="150">
        <f>'Data Sheet'!J32/'Data Sheet'!J$17</f>
        <v>0.14333112143331123</v>
      </c>
      <c r="L20" s="150">
        <f>'Data Sheet'!K32/'Data Sheet'!K$17</f>
        <v>0.15163010723342316</v>
      </c>
    </row>
    <row r="22" spans="2:12" x14ac:dyDescent="0.3">
      <c r="B22" s="177" t="str">
        <f>"Common Size Statement Balance Sheet"&amp;" "&amp;"-"&amp;'Data Sheet'!B1</f>
        <v>Common Size Statement Balance Sheet -TATA MOTORS LTD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</row>
    <row r="24" spans="2:12" x14ac:dyDescent="0.3">
      <c r="B24" s="152" t="s">
        <v>296</v>
      </c>
      <c r="C24" s="153">
        <f>'Data Sheet'!B56</f>
        <v>42460</v>
      </c>
      <c r="D24" s="153">
        <f>'Data Sheet'!C56</f>
        <v>42825</v>
      </c>
      <c r="E24" s="153">
        <f>'Data Sheet'!D56</f>
        <v>43190</v>
      </c>
      <c r="F24" s="153">
        <f>'Data Sheet'!E56</f>
        <v>43555</v>
      </c>
      <c r="G24" s="153">
        <f>'Data Sheet'!F56</f>
        <v>43921</v>
      </c>
      <c r="H24" s="153">
        <f>'Data Sheet'!G56</f>
        <v>44286</v>
      </c>
      <c r="I24" s="153">
        <f>'Data Sheet'!H56</f>
        <v>44651</v>
      </c>
      <c r="J24" s="153">
        <f>'Data Sheet'!I56</f>
        <v>45016</v>
      </c>
      <c r="K24" s="153">
        <f>'Data Sheet'!J56</f>
        <v>45382</v>
      </c>
      <c r="L24" s="153">
        <f>'Data Sheet'!K56</f>
        <v>45747</v>
      </c>
    </row>
    <row r="25" spans="2:12" x14ac:dyDescent="0.3">
      <c r="B25" s="149" t="str">
        <f>'Data Sheet'!A57</f>
        <v>Equity Share Capital</v>
      </c>
      <c r="C25" s="150">
        <f>'Data Sheet'!B57/'Data Sheet'!B$61</f>
        <v>2.5806268250531225E-3</v>
      </c>
      <c r="D25" s="150">
        <f>'Data Sheet'!C57/'Data Sheet'!C$61</f>
        <v>2.491815624573979E-3</v>
      </c>
      <c r="E25" s="150">
        <f>'Data Sheet'!D57/'Data Sheet'!D$61</f>
        <v>2.0759077068585549E-3</v>
      </c>
      <c r="F25" s="150">
        <f>'Data Sheet'!E57/'Data Sheet'!E$61</f>
        <v>2.2218261230841693E-3</v>
      </c>
      <c r="G25" s="150">
        <f>'Data Sheet'!F57/'Data Sheet'!F$61</f>
        <v>2.2473026761653833E-3</v>
      </c>
      <c r="H25" s="150">
        <f>'Data Sheet'!G57/'Data Sheet'!G$61</f>
        <v>2.2420300429859294E-3</v>
      </c>
      <c r="I25" s="150">
        <f>'Data Sheet'!H57/'Data Sheet'!H$61</f>
        <v>2.3274677325505334E-3</v>
      </c>
      <c r="J25" s="150">
        <f>'Data Sheet'!I57/'Data Sheet'!I$61</f>
        <v>2.2888512875034999E-3</v>
      </c>
      <c r="K25" s="150">
        <f>'Data Sheet'!J57/'Data Sheet'!J$61</f>
        <v>2.0756601113333206E-3</v>
      </c>
      <c r="L25" s="150">
        <f>'Data Sheet'!K57/'Data Sheet'!K$61</f>
        <v>1.952394468569367E-3</v>
      </c>
    </row>
    <row r="26" spans="2:12" x14ac:dyDescent="0.3">
      <c r="B26" s="149" t="str">
        <f>'Data Sheet'!A58</f>
        <v>Reserves</v>
      </c>
      <c r="C26" s="150">
        <f>'Data Sheet'!B58/'Data Sheet'!B$61</f>
        <v>0.2974086354450261</v>
      </c>
      <c r="D26" s="150">
        <f>'Data Sheet'!C58/'Data Sheet'!C$61</f>
        <v>0.21051652437468349</v>
      </c>
      <c r="E26" s="150">
        <f>'Data Sheet'!D58/'Data Sheet'!D$61</f>
        <v>0.28958148432871839</v>
      </c>
      <c r="F26" s="150">
        <f>'Data Sheet'!E58/'Data Sheet'!E$61</f>
        <v>0.19463415350606564</v>
      </c>
      <c r="G26" s="150">
        <f>'Data Sheet'!F58/'Data Sheet'!F$61</f>
        <v>0.19476266101949907</v>
      </c>
      <c r="H26" s="150">
        <f>'Data Sheet'!G58/'Data Sheet'!G$61</f>
        <v>0.15950149121742019</v>
      </c>
      <c r="I26" s="150">
        <f>'Data Sheet'!H58/'Data Sheet'!H$61</f>
        <v>0.13309172094249011</v>
      </c>
      <c r="J26" s="150">
        <f>'Data Sheet'!I58/'Data Sheet'!I$61</f>
        <v>0.13313168263258116</v>
      </c>
      <c r="K26" s="150">
        <f>'Data Sheet'!J58/'Data Sheet'!J$61</f>
        <v>0.22772995310144756</v>
      </c>
      <c r="L26" s="150">
        <f>'Data Sheet'!K58/'Data Sheet'!K$61</f>
        <v>0.30614394134327921</v>
      </c>
    </row>
    <row r="27" spans="2:12" x14ac:dyDescent="0.3">
      <c r="B27" s="149" t="str">
        <f>'Data Sheet'!A59</f>
        <v>Borrowings</v>
      </c>
      <c r="C27" s="150">
        <f>'Data Sheet'!B59/'Data Sheet'!B$61</f>
        <v>0.2635415844998551</v>
      </c>
      <c r="D27" s="150">
        <f>'Data Sheet'!C59/'Data Sheet'!C$61</f>
        <v>0.2883699324485447</v>
      </c>
      <c r="E27" s="150">
        <f>'Data Sheet'!D59/'Data Sheet'!D$61</f>
        <v>0.27186031948660327</v>
      </c>
      <c r="F27" s="150">
        <f>'Data Sheet'!E59/'Data Sheet'!E$61</f>
        <v>0.34731477877468786</v>
      </c>
      <c r="G27" s="150">
        <f>'Data Sheet'!F59/'Data Sheet'!F$61</f>
        <v>0.38974288757311953</v>
      </c>
      <c r="H27" s="150">
        <f>'Data Sheet'!G59/'Data Sheet'!G$61</f>
        <v>0.41610975041683274</v>
      </c>
      <c r="I27" s="150">
        <f>'Data Sheet'!H59/'Data Sheet'!H$61</f>
        <v>0.445050649956031</v>
      </c>
      <c r="J27" s="150">
        <f>'Data Sheet'!I59/'Data Sheet'!I$61</f>
        <v>0.40072807474416255</v>
      </c>
      <c r="K27" s="150">
        <f>'Data Sheet'!J59/'Data Sheet'!J$61</f>
        <v>0.2902784956741295</v>
      </c>
      <c r="L27" s="150">
        <f>'Data Sheet'!K59/'Data Sheet'!K$61</f>
        <v>0.18977486451284309</v>
      </c>
    </row>
    <row r="28" spans="2:12" x14ac:dyDescent="0.3">
      <c r="B28" s="149" t="str">
        <f>'Data Sheet'!A60</f>
        <v>Other Liabilities</v>
      </c>
      <c r="C28" s="150">
        <f>'Data Sheet'!B60/'Data Sheet'!B$61</f>
        <v>0.43646915323006569</v>
      </c>
      <c r="D28" s="150">
        <f>'Data Sheet'!C60/'Data Sheet'!C$61</f>
        <v>0.4986217275521978</v>
      </c>
      <c r="E28" s="150">
        <f>'Data Sheet'!D60/'Data Sheet'!D$61</f>
        <v>0.43648228847781978</v>
      </c>
      <c r="F28" s="150">
        <f>'Data Sheet'!E60/'Data Sheet'!E$61</f>
        <v>0.45582924159616234</v>
      </c>
      <c r="G28" s="150">
        <f>'Data Sheet'!F60/'Data Sheet'!F$61</f>
        <v>0.41324714873121593</v>
      </c>
      <c r="H28" s="150">
        <f>'Data Sheet'!G60/'Data Sheet'!G$61</f>
        <v>0.42214672832276123</v>
      </c>
      <c r="I28" s="150">
        <f>'Data Sheet'!H60/'Data Sheet'!H$61</f>
        <v>0.41953016136892834</v>
      </c>
      <c r="J28" s="150">
        <f>'Data Sheet'!I60/'Data Sheet'!I$61</f>
        <v>0.46385139133575282</v>
      </c>
      <c r="K28" s="150">
        <f>'Data Sheet'!J60/'Data Sheet'!J$61</f>
        <v>0.47991589111308963</v>
      </c>
      <c r="L28" s="150">
        <f>'Data Sheet'!K60/'Data Sheet'!K$61</f>
        <v>0.50212879967530832</v>
      </c>
    </row>
    <row r="29" spans="2:12" x14ac:dyDescent="0.3">
      <c r="B29" s="149" t="str">
        <f>'Data Sheet'!A61</f>
        <v>Total</v>
      </c>
      <c r="C29" s="150">
        <f>'Data Sheet'!B61/'Data Sheet'!B$61</f>
        <v>1</v>
      </c>
      <c r="D29" s="150">
        <f>'Data Sheet'!C61/'Data Sheet'!C$61</f>
        <v>1</v>
      </c>
      <c r="E29" s="150">
        <f>'Data Sheet'!D61/'Data Sheet'!D$61</f>
        <v>1</v>
      </c>
      <c r="F29" s="150">
        <f>'Data Sheet'!E61/'Data Sheet'!E$61</f>
        <v>1</v>
      </c>
      <c r="G29" s="150">
        <f>'Data Sheet'!F61/'Data Sheet'!F$61</f>
        <v>1</v>
      </c>
      <c r="H29" s="150">
        <f>'Data Sheet'!G61/'Data Sheet'!G$61</f>
        <v>1</v>
      </c>
      <c r="I29" s="150">
        <f>'Data Sheet'!H61/'Data Sheet'!H$61</f>
        <v>1</v>
      </c>
      <c r="J29" s="150">
        <f>'Data Sheet'!I61/'Data Sheet'!I$61</f>
        <v>1</v>
      </c>
      <c r="K29" s="150">
        <f>'Data Sheet'!J61/'Data Sheet'!J$61</f>
        <v>1</v>
      </c>
      <c r="L29" s="150">
        <f>'Data Sheet'!K61/'Data Sheet'!K$61</f>
        <v>1</v>
      </c>
    </row>
    <row r="30" spans="2:12" x14ac:dyDescent="0.3"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2:12" x14ac:dyDescent="0.3">
      <c r="B31" s="149" t="str">
        <f>'Data Sheet'!A62</f>
        <v>Net Block</v>
      </c>
      <c r="C31" s="150">
        <f>'Data Sheet'!B62/'Data Sheet'!B$75</f>
        <v>0.40744008415097382</v>
      </c>
      <c r="D31" s="150">
        <f>'Data Sheet'!C62/'Data Sheet'!C$75</f>
        <v>0.35198456704657666</v>
      </c>
      <c r="E31" s="150">
        <f>'Data Sheet'!D62/'Data Sheet'!D$75</f>
        <v>0.37107854258332446</v>
      </c>
      <c r="F31" s="150">
        <f>'Data Sheet'!E62/'Data Sheet'!E$75</f>
        <v>0.36386391925064382</v>
      </c>
      <c r="G31" s="150">
        <f>'Data Sheet'!F62/'Data Sheet'!F$75</f>
        <v>0.39698726392101624</v>
      </c>
      <c r="H31" s="150">
        <f>'Data Sheet'!G62/'Data Sheet'!G$75</f>
        <v>0.40608849298230043</v>
      </c>
      <c r="I31" s="150">
        <f>'Data Sheet'!H62/'Data Sheet'!H$75</f>
        <v>0.42197417266906562</v>
      </c>
      <c r="J31" s="150">
        <f>'Data Sheet'!I62/'Data Sheet'!I$75</f>
        <v>0.39465148263642374</v>
      </c>
      <c r="K31" s="150">
        <f>'Data Sheet'!J62/'Data Sheet'!J$75</f>
        <v>0.32822221199877677</v>
      </c>
      <c r="L31" s="150">
        <f>'Data Sheet'!K62/'Data Sheet'!K$75</f>
        <v>0.3069105744973778</v>
      </c>
    </row>
    <row r="32" spans="2:12" x14ac:dyDescent="0.3">
      <c r="B32" s="149" t="str">
        <f>'Data Sheet'!A63</f>
        <v>Capital Work in Progress</v>
      </c>
      <c r="C32" s="150">
        <f>'Data Sheet'!B63/'Data Sheet'!B$75</f>
        <v>9.8482157662096018E-2</v>
      </c>
      <c r="D32" s="150">
        <f>'Data Sheet'!C63/'Data Sheet'!C$75</f>
        <v>0.12362900980833688</v>
      </c>
      <c r="E32" s="150">
        <f>'Data Sheet'!D63/'Data Sheet'!D$75</f>
        <v>0.12235483522646853</v>
      </c>
      <c r="F32" s="150">
        <f>'Data Sheet'!E63/'Data Sheet'!E$75</f>
        <v>0.1042966176146697</v>
      </c>
      <c r="G32" s="150">
        <f>'Data Sheet'!F63/'Data Sheet'!F$75</f>
        <v>0.11125728611076434</v>
      </c>
      <c r="H32" s="150">
        <f>'Data Sheet'!G63/'Data Sheet'!G$75</f>
        <v>6.137522476731045E-2</v>
      </c>
      <c r="I32" s="150">
        <f>'Data Sheet'!H63/'Data Sheet'!H$75</f>
        <v>3.1152505873598278E-2</v>
      </c>
      <c r="J32" s="150">
        <f>'Data Sheet'!I63/'Data Sheet'!I$75</f>
        <v>4.2651899041106903E-2</v>
      </c>
      <c r="K32" s="150">
        <f>'Data Sheet'!J63/'Data Sheet'!J$75</f>
        <v>9.6606146876632187E-2</v>
      </c>
      <c r="L32" s="150">
        <f>'Data Sheet'!K63/'Data Sheet'!K$75</f>
        <v>0.17456422608515729</v>
      </c>
    </row>
    <row r="33" spans="2:12" x14ac:dyDescent="0.3">
      <c r="B33" s="149" t="str">
        <f>'Data Sheet'!A64</f>
        <v>Investments</v>
      </c>
      <c r="C33" s="150">
        <f>'Data Sheet'!B64/'Data Sheet'!B$75</f>
        <v>9.0305676497502971E-2</v>
      </c>
      <c r="D33" s="150">
        <f>'Data Sheet'!C64/'Data Sheet'!C$75</f>
        <v>7.4612565630187005E-2</v>
      </c>
      <c r="E33" s="150">
        <f>'Data Sheet'!D64/'Data Sheet'!D$75</f>
        <v>6.3610241344366172E-2</v>
      </c>
      <c r="F33" s="150">
        <f>'Data Sheet'!E64/'Data Sheet'!E$75</f>
        <v>5.1588289031309388E-2</v>
      </c>
      <c r="G33" s="150">
        <f>'Data Sheet'!F64/'Data Sheet'!F$75</f>
        <v>5.0935445907370862E-2</v>
      </c>
      <c r="H33" s="150">
        <f>'Data Sheet'!G64/'Data Sheet'!G$75</f>
        <v>7.207976838475029E-2</v>
      </c>
      <c r="I33" s="150">
        <f>'Data Sheet'!H64/'Data Sheet'!H$75</f>
        <v>8.928279635517361E-2</v>
      </c>
      <c r="J33" s="150">
        <f>'Data Sheet'!I64/'Data Sheet'!I$75</f>
        <v>7.8820362822460022E-2</v>
      </c>
      <c r="K33" s="150">
        <f>'Data Sheet'!J64/'Data Sheet'!J$75</f>
        <v>6.2164261300440303E-2</v>
      </c>
      <c r="L33" s="150">
        <f>'Data Sheet'!K64/'Data Sheet'!K$75</f>
        <v>9.4585023330583357E-2</v>
      </c>
    </row>
    <row r="34" spans="2:12" x14ac:dyDescent="0.3">
      <c r="B34" s="149" t="str">
        <f>'Data Sheet'!A65</f>
        <v>Other Assets</v>
      </c>
      <c r="C34" s="150">
        <f>'Data Sheet'!B65/'Data Sheet'!B$75</f>
        <v>0.40377208168942713</v>
      </c>
      <c r="D34" s="150">
        <f>'Data Sheet'!C65/'Data Sheet'!C$75</f>
        <v>0.44977385751489951</v>
      </c>
      <c r="E34" s="150">
        <f>'Data Sheet'!D65/'Data Sheet'!D$75</f>
        <v>0.44295638084584088</v>
      </c>
      <c r="F34" s="150">
        <f>'Data Sheet'!E65/'Data Sheet'!E$75</f>
        <v>0.48025117410337709</v>
      </c>
      <c r="G34" s="150">
        <f>'Data Sheet'!F65/'Data Sheet'!F$75</f>
        <v>0.44082000406084854</v>
      </c>
      <c r="H34" s="150">
        <f>'Data Sheet'!G65/'Data Sheet'!G$75</f>
        <v>0.46045651386563885</v>
      </c>
      <c r="I34" s="150">
        <f>'Data Sheet'!H65/'Data Sheet'!H$75</f>
        <v>0.45759052510216258</v>
      </c>
      <c r="J34" s="150">
        <f>'Data Sheet'!I65/'Data Sheet'!I$75</f>
        <v>0.4838762555000094</v>
      </c>
      <c r="K34" s="150">
        <f>'Data Sheet'!J65/'Data Sheet'!J$75</f>
        <v>0.51300737982415068</v>
      </c>
      <c r="L34" s="150">
        <f>'Data Sheet'!K65/'Data Sheet'!K$75</f>
        <v>0.42394017608688156</v>
      </c>
    </row>
    <row r="35" spans="2:12" x14ac:dyDescent="0.3">
      <c r="B35" s="149" t="str">
        <f>'Data Sheet'!A67</f>
        <v>Receivables</v>
      </c>
      <c r="C35" s="150">
        <f>'Data Sheet'!B67/'Data Sheet'!B$75</f>
        <v>5.1564319306195219E-2</v>
      </c>
      <c r="D35" s="150">
        <f>'Data Sheet'!C67/'Data Sheet'!C$75</f>
        <v>5.1638166447501938E-2</v>
      </c>
      <c r="E35" s="150">
        <f>'Data Sheet'!D67/'Data Sheet'!D$75</f>
        <v>6.0800115993123419E-2</v>
      </c>
      <c r="F35" s="150">
        <f>'Data Sheet'!E67/'Data Sheet'!E$75</f>
        <v>6.2139198999658127E-2</v>
      </c>
      <c r="G35" s="150">
        <f>'Data Sheet'!F67/'Data Sheet'!F$75</f>
        <v>3.4895094278241959E-2</v>
      </c>
      <c r="H35" s="150">
        <f>'Data Sheet'!G67/'Data Sheet'!G$75</f>
        <v>3.7120014464974392E-2</v>
      </c>
      <c r="I35" s="150">
        <f>'Data Sheet'!H67/'Data Sheet'!H$75</f>
        <v>3.7810927070195913E-2</v>
      </c>
      <c r="J35" s="150">
        <f>'Data Sheet'!I67/'Data Sheet'!I$75</f>
        <v>4.7024715930643397E-2</v>
      </c>
      <c r="K35" s="150">
        <f>'Data Sheet'!J67/'Data Sheet'!J$75</f>
        <v>4.5875606528451698E-2</v>
      </c>
      <c r="L35" s="150">
        <f>'Data Sheet'!K67/'Data Sheet'!K$75</f>
        <v>3.5143100434248606E-2</v>
      </c>
    </row>
    <row r="36" spans="2:12" x14ac:dyDescent="0.3">
      <c r="B36" s="149" t="str">
        <f>'Data Sheet'!A68</f>
        <v>Inventory</v>
      </c>
      <c r="C36" s="150">
        <f>'Data Sheet'!B68/'Data Sheet'!B$75</f>
        <v>0.12407940874244236</v>
      </c>
      <c r="D36" s="150">
        <f>'Data Sheet'!C68/'Data Sheet'!C$75</f>
        <v>0.12871547311772571</v>
      </c>
      <c r="E36" s="150">
        <f>'Data Sheet'!D68/'Data Sheet'!D$75</f>
        <v>0.12878571135383859</v>
      </c>
      <c r="F36" s="150">
        <f>'Data Sheet'!E68/'Data Sheet'!E$75</f>
        <v>0.12761951131143451</v>
      </c>
      <c r="G36" s="150">
        <f>'Data Sheet'!F68/'Data Sheet'!F$75</f>
        <v>0.11698716772494318</v>
      </c>
      <c r="H36" s="150">
        <f>'Data Sheet'!G68/'Data Sheet'!G$75</f>
        <v>0.1056550619461767</v>
      </c>
      <c r="I36" s="150">
        <f>'Data Sheet'!H68/'Data Sheet'!H$75</f>
        <v>0.1070934797019244</v>
      </c>
      <c r="J36" s="150">
        <f>'Data Sheet'!I68/'Data Sheet'!I$75</f>
        <v>0.12177622891596469</v>
      </c>
      <c r="K36" s="150">
        <f>'Data Sheet'!J68/'Data Sheet'!J$75</f>
        <v>0.12932417914002181</v>
      </c>
      <c r="L36" s="150">
        <f>'Data Sheet'!K68/'Data Sheet'!K$75</f>
        <v>0.12539094311794213</v>
      </c>
    </row>
    <row r="37" spans="2:12" x14ac:dyDescent="0.3">
      <c r="B37" s="149" t="str">
        <f>'Data Sheet'!A69</f>
        <v>Cash &amp; Bank</v>
      </c>
      <c r="C37" s="150">
        <f>'Data Sheet'!B69/'Data Sheet'!B$75</f>
        <v>0.11573798601526566</v>
      </c>
      <c r="D37" s="150">
        <f>'Data Sheet'!C69/'Data Sheet'!C$75</f>
        <v>0.13235685799226327</v>
      </c>
      <c r="E37" s="150">
        <f>'Data Sheet'!D69/'Data Sheet'!D$75</f>
        <v>0.10579088150158772</v>
      </c>
      <c r="F37" s="150">
        <f>'Data Sheet'!E69/'Data Sheet'!E$75</f>
        <v>0.10679897700873484</v>
      </c>
      <c r="G37" s="150">
        <f>'Data Sheet'!F69/'Data Sheet'!F$75</f>
        <v>0.10533772957715985</v>
      </c>
      <c r="H37" s="150">
        <f>'Data Sheet'!G69/'Data Sheet'!G$75</f>
        <v>0.13699233635656022</v>
      </c>
      <c r="I37" s="150">
        <f>'Data Sheet'!H69/'Data Sheet'!H$75</f>
        <v>0.12359146006419652</v>
      </c>
      <c r="J37" s="150">
        <f>'Data Sheet'!I69/'Data Sheet'!I$75</f>
        <v>0.11060169729728082</v>
      </c>
      <c r="K37" s="150">
        <f>'Data Sheet'!J69/'Data Sheet'!J$75</f>
        <v>0.1239631847716368</v>
      </c>
      <c r="L37" s="150">
        <f>'Data Sheet'!K69/'Data Sheet'!K$75</f>
        <v>0.10832075506733904</v>
      </c>
    </row>
    <row r="39" spans="2:12" x14ac:dyDescent="0.3">
      <c r="B39" s="149" t="s">
        <v>298</v>
      </c>
      <c r="C39" s="150">
        <f>'Data Sheet'!B75/'Data Sheet'!B$75</f>
        <v>1</v>
      </c>
      <c r="D39" s="150">
        <f>'Data Sheet'!C75/'Data Sheet'!C$75</f>
        <v>1</v>
      </c>
      <c r="E39" s="150">
        <f>'Data Sheet'!D75/'Data Sheet'!D$75</f>
        <v>1</v>
      </c>
      <c r="F39" s="150">
        <f>'Data Sheet'!E75/'Data Sheet'!E$75</f>
        <v>1</v>
      </c>
      <c r="G39" s="150">
        <f>'Data Sheet'!F75/'Data Sheet'!F$75</f>
        <v>1</v>
      </c>
      <c r="H39" s="150">
        <f>'Data Sheet'!G75/'Data Sheet'!G$75</f>
        <v>1</v>
      </c>
      <c r="I39" s="150">
        <f>'Data Sheet'!H75/'Data Sheet'!H$75</f>
        <v>1</v>
      </c>
      <c r="J39" s="150">
        <f>'Data Sheet'!I75/'Data Sheet'!I$75</f>
        <v>1</v>
      </c>
      <c r="K39" s="150">
        <f>'Data Sheet'!J75/'Data Sheet'!J$75</f>
        <v>1</v>
      </c>
      <c r="L39" s="150">
        <f>'Data Sheet'!K75/'Data Sheet'!K$75</f>
        <v>1</v>
      </c>
    </row>
  </sheetData>
  <mergeCells count="2">
    <mergeCell ref="B2:L2"/>
    <mergeCell ref="B22:L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136E-9009-44F4-A108-91997678F05F}">
  <dimension ref="B3:R32"/>
  <sheetViews>
    <sheetView workbookViewId="0">
      <selection activeCell="I22" sqref="I22"/>
    </sheetView>
  </sheetViews>
  <sheetFormatPr defaultRowHeight="14.4" x14ac:dyDescent="0.3"/>
  <cols>
    <col min="1" max="1" width="1.88671875" customWidth="1"/>
    <col min="2" max="2" width="16.5546875" bestFit="1" customWidth="1"/>
    <col min="4" max="4" width="9" bestFit="1" customWidth="1"/>
    <col min="5" max="5" width="11.6640625" bestFit="1" customWidth="1"/>
    <col min="7" max="7" width="10.88671875" bestFit="1" customWidth="1"/>
    <col min="9" max="9" width="12.6640625" bestFit="1" customWidth="1"/>
    <col min="10" max="10" width="13.6640625" bestFit="1" customWidth="1"/>
    <col min="14" max="14" width="8.6640625" bestFit="1" customWidth="1"/>
    <col min="15" max="15" width="13.6640625" bestFit="1" customWidth="1"/>
    <col min="17" max="17" width="16.5546875" bestFit="1" customWidth="1"/>
  </cols>
  <sheetData>
    <row r="3" spans="2:15" x14ac:dyDescent="0.3">
      <c r="B3" s="177" t="str">
        <f>'Data Sheet'!B1&amp;" - "&amp;'Data Sheet'!A17</f>
        <v>TATA MOTORS LTD - Sales</v>
      </c>
      <c r="C3" s="177"/>
      <c r="D3" s="177"/>
      <c r="E3" s="177"/>
      <c r="G3" s="178" t="str">
        <f>'Data Sheet'!B1&amp;" - "&amp;HistoricaIFS!B17</f>
        <v>TATA MOTORS LTD - EBITDA</v>
      </c>
      <c r="H3" s="178"/>
      <c r="I3" s="178"/>
      <c r="J3" s="178"/>
      <c r="L3" s="178" t="str">
        <f>'Data Sheet'!B1&amp;" - "&amp;HistoricaIFS!B37</f>
        <v>TATA MOTORS LTD - EPS</v>
      </c>
      <c r="M3" s="178"/>
      <c r="N3" s="178"/>
      <c r="O3" s="178"/>
    </row>
    <row r="4" spans="2:15" x14ac:dyDescent="0.3">
      <c r="B4" s="154" t="s">
        <v>180</v>
      </c>
      <c r="C4" s="154" t="s">
        <v>181</v>
      </c>
      <c r="D4" s="154" t="s">
        <v>6</v>
      </c>
      <c r="E4" s="154" t="s">
        <v>22</v>
      </c>
      <c r="G4" s="154" t="s">
        <v>180</v>
      </c>
      <c r="H4" s="154" t="s">
        <v>181</v>
      </c>
      <c r="I4" s="154" t="s">
        <v>90</v>
      </c>
      <c r="J4" s="154" t="s">
        <v>150</v>
      </c>
      <c r="L4" s="154" t="s">
        <v>180</v>
      </c>
      <c r="M4" s="154" t="s">
        <v>181</v>
      </c>
      <c r="N4" s="154" t="s">
        <v>48</v>
      </c>
      <c r="O4" s="154" t="s">
        <v>185</v>
      </c>
    </row>
    <row r="5" spans="2:15" x14ac:dyDescent="0.3">
      <c r="B5" s="149">
        <v>1</v>
      </c>
      <c r="C5" s="149">
        <v>2016</v>
      </c>
      <c r="D5" s="155">
        <f t="array" ref="D5:D14">TRANSPOSE('Data Sheet'!B17:K17)</f>
        <v>273045.59999999998</v>
      </c>
      <c r="E5" s="156"/>
      <c r="G5" s="149">
        <v>1</v>
      </c>
      <c r="H5" s="149">
        <v>2016</v>
      </c>
      <c r="I5" s="155">
        <f t="array" ref="I5:I14">TRANSPOSE(HistoricaIFS!C17:L17)</f>
        <v>38395.249999999971</v>
      </c>
      <c r="J5" s="156"/>
      <c r="L5" s="149">
        <v>1</v>
      </c>
      <c r="M5" s="149">
        <v>2016</v>
      </c>
      <c r="N5" s="155">
        <f t="array" ref="N5:N14">TRANSPOSE(HistoricaIFS!C37:L37)</f>
        <v>10.244215849265723</v>
      </c>
      <c r="O5" s="156"/>
    </row>
    <row r="6" spans="2:15" x14ac:dyDescent="0.3">
      <c r="B6" s="149">
        <v>2</v>
      </c>
      <c r="C6" s="149">
        <v>2017</v>
      </c>
      <c r="D6" s="155">
        <v>269692.51</v>
      </c>
      <c r="E6" s="156">
        <f t="shared" ref="E6:E19" si="0">IFERROR(D6/D5-1,0)</f>
        <v>-1.2280329732469508E-2</v>
      </c>
      <c r="G6" s="149">
        <v>2</v>
      </c>
      <c r="H6" s="149">
        <v>2017</v>
      </c>
      <c r="I6" s="155">
        <v>29588.690000000046</v>
      </c>
      <c r="J6" s="156">
        <f>IFERROR(I6/I5-1,0)</f>
        <v>-0.22936587208052905</v>
      </c>
      <c r="L6" s="149">
        <v>2</v>
      </c>
      <c r="M6" s="149">
        <v>2017</v>
      </c>
      <c r="N6" s="155">
        <v>18.72957434281162</v>
      </c>
      <c r="O6" s="156">
        <f t="shared" ref="O6:O19" si="1">IFERROR(N6/N5-1,0)</f>
        <v>0.82830727294311202</v>
      </c>
    </row>
    <row r="7" spans="2:15" x14ac:dyDescent="0.3">
      <c r="B7" s="149">
        <v>3</v>
      </c>
      <c r="C7" s="149">
        <v>2018</v>
      </c>
      <c r="D7" s="155">
        <v>291550.48</v>
      </c>
      <c r="E7" s="156">
        <f t="shared" si="0"/>
        <v>8.104774581985974E-2</v>
      </c>
      <c r="G7" s="149">
        <v>3</v>
      </c>
      <c r="H7" s="149">
        <v>2018</v>
      </c>
      <c r="I7" s="155">
        <v>31457.679999999993</v>
      </c>
      <c r="J7" s="156">
        <f t="shared" ref="J7:J19" si="2">IFERROR(I7/I6-1,0)</f>
        <v>6.3165689322506102E-2</v>
      </c>
      <c r="L7" s="149">
        <v>3</v>
      </c>
      <c r="M7" s="149">
        <v>2018</v>
      </c>
      <c r="N7" s="155">
        <v>11.093409067294704</v>
      </c>
      <c r="O7" s="156">
        <f t="shared" si="1"/>
        <v>-0.40770629037000317</v>
      </c>
    </row>
    <row r="8" spans="2:15" x14ac:dyDescent="0.3">
      <c r="B8" s="149">
        <v>4</v>
      </c>
      <c r="C8" s="149">
        <v>2019</v>
      </c>
      <c r="D8" s="155">
        <v>301938.40000000002</v>
      </c>
      <c r="E8" s="156">
        <f t="shared" si="0"/>
        <v>3.5629919045237157E-2</v>
      </c>
      <c r="G8" s="149">
        <v>4</v>
      </c>
      <c r="H8" s="149">
        <v>2019</v>
      </c>
      <c r="I8" s="155">
        <v>24664.330000000024</v>
      </c>
      <c r="J8" s="156">
        <f t="shared" si="2"/>
        <v>-0.21595203460649259</v>
      </c>
      <c r="L8" s="149">
        <v>4</v>
      </c>
      <c r="M8" s="149">
        <v>2019</v>
      </c>
      <c r="N8" s="155">
        <v>13.036400789665084</v>
      </c>
      <c r="O8" s="156">
        <f t="shared" si="1"/>
        <v>0.1751482984701842</v>
      </c>
    </row>
    <row r="9" spans="2:15" x14ac:dyDescent="0.3">
      <c r="B9" s="149">
        <v>5</v>
      </c>
      <c r="C9" s="149">
        <v>2020</v>
      </c>
      <c r="D9" s="155">
        <v>261067.97</v>
      </c>
      <c r="E9" s="156">
        <f t="shared" si="0"/>
        <v>-0.135360159555724</v>
      </c>
      <c r="G9" s="149">
        <v>5</v>
      </c>
      <c r="H9" s="149">
        <v>2020</v>
      </c>
      <c r="I9" s="155">
        <v>17987.069999999963</v>
      </c>
      <c r="J9" s="156">
        <f t="shared" si="2"/>
        <v>-0.27072537547138131</v>
      </c>
      <c r="L9" s="149">
        <v>5</v>
      </c>
      <c r="M9" s="149">
        <v>2020</v>
      </c>
      <c r="N9" s="155">
        <v>22.741987698284237</v>
      </c>
      <c r="O9" s="156">
        <f t="shared" si="1"/>
        <v>0.74449896602699472</v>
      </c>
    </row>
    <row r="10" spans="2:15" x14ac:dyDescent="0.3">
      <c r="B10" s="149">
        <v>6</v>
      </c>
      <c r="C10" s="149">
        <v>2021</v>
      </c>
      <c r="D10" s="155">
        <v>249794.75</v>
      </c>
      <c r="E10" s="156">
        <f t="shared" si="0"/>
        <v>-4.3181168490336042E-2</v>
      </c>
      <c r="G10" s="149">
        <v>6</v>
      </c>
      <c r="H10" s="149">
        <v>2021</v>
      </c>
      <c r="I10" s="155">
        <v>32287.429999999989</v>
      </c>
      <c r="J10" s="156">
        <f t="shared" si="2"/>
        <v>0.79503554497758966</v>
      </c>
      <c r="L10" s="149">
        <v>6</v>
      </c>
      <c r="M10" s="149">
        <v>2021</v>
      </c>
      <c r="N10" s="155">
        <v>52.425985603710515</v>
      </c>
      <c r="O10" s="156">
        <f t="shared" si="1"/>
        <v>1.3052508118129786</v>
      </c>
    </row>
    <row r="11" spans="2:15" x14ac:dyDescent="0.3">
      <c r="B11" s="149">
        <v>7</v>
      </c>
      <c r="C11" s="149">
        <v>2022</v>
      </c>
      <c r="D11" s="155">
        <v>278453.62</v>
      </c>
      <c r="E11" s="156">
        <f t="shared" si="0"/>
        <v>0.11472967306158344</v>
      </c>
      <c r="G11" s="149">
        <v>7</v>
      </c>
      <c r="H11" s="149">
        <v>2022</v>
      </c>
      <c r="I11" s="155">
        <v>24720.090000000015</v>
      </c>
      <c r="J11" s="156">
        <f t="shared" si="2"/>
        <v>-0.234374182150762</v>
      </c>
      <c r="L11" s="149">
        <v>7</v>
      </c>
      <c r="M11" s="149">
        <v>2022</v>
      </c>
      <c r="N11" s="155">
        <v>16.761526184238264</v>
      </c>
      <c r="O11" s="156">
        <f t="shared" si="1"/>
        <v>-0.68028209691775543</v>
      </c>
    </row>
    <row r="12" spans="2:15" x14ac:dyDescent="0.3">
      <c r="B12" s="149">
        <v>8</v>
      </c>
      <c r="C12" s="149">
        <v>2023</v>
      </c>
      <c r="D12" s="155">
        <v>345966.97</v>
      </c>
      <c r="E12" s="156">
        <f t="shared" si="0"/>
        <v>0.24245815155859707</v>
      </c>
      <c r="G12" s="149">
        <v>8</v>
      </c>
      <c r="H12" s="149">
        <v>2023</v>
      </c>
      <c r="I12" s="155">
        <v>31815.799999999959</v>
      </c>
      <c r="J12" s="156">
        <f t="shared" si="2"/>
        <v>0.28704223973294352</v>
      </c>
      <c r="L12" s="149">
        <v>8</v>
      </c>
      <c r="M12" s="149">
        <v>2023</v>
      </c>
      <c r="N12" s="155">
        <v>10.065335862463494</v>
      </c>
      <c r="O12" s="156">
        <f t="shared" si="1"/>
        <v>-0.39949765004522952</v>
      </c>
    </row>
    <row r="13" spans="2:15" x14ac:dyDescent="0.3">
      <c r="B13" s="149">
        <v>9</v>
      </c>
      <c r="C13" s="149">
        <v>2024</v>
      </c>
      <c r="D13" s="155">
        <v>434016</v>
      </c>
      <c r="E13" s="156">
        <f t="shared" si="0"/>
        <v>0.25450126062612277</v>
      </c>
      <c r="G13" s="149">
        <v>9</v>
      </c>
      <c r="H13" s="149">
        <v>2024</v>
      </c>
      <c r="I13" s="155">
        <v>57824</v>
      </c>
      <c r="J13" s="156">
        <f t="shared" si="2"/>
        <v>0.81746176428064277</v>
      </c>
      <c r="L13" s="149">
        <v>9</v>
      </c>
      <c r="M13" s="149">
        <v>2024</v>
      </c>
      <c r="N13" s="155">
        <v>16.265005866955502</v>
      </c>
      <c r="O13" s="156">
        <f t="shared" si="1"/>
        <v>0.61594268578879174</v>
      </c>
    </row>
    <row r="14" spans="2:15" x14ac:dyDescent="0.3">
      <c r="B14" s="149">
        <v>10</v>
      </c>
      <c r="C14" s="149">
        <v>2025</v>
      </c>
      <c r="D14" s="155">
        <v>439695</v>
      </c>
      <c r="E14" s="156">
        <f t="shared" si="0"/>
        <v>1.3084771068347711E-2</v>
      </c>
      <c r="G14" s="149">
        <v>10</v>
      </c>
      <c r="H14" s="149">
        <v>2025</v>
      </c>
      <c r="I14" s="155">
        <v>55216</v>
      </c>
      <c r="J14" s="156">
        <f t="shared" si="2"/>
        <v>-4.510237963475372E-2</v>
      </c>
      <c r="L14" s="149">
        <v>10</v>
      </c>
      <c r="M14" s="149">
        <v>2025</v>
      </c>
      <c r="N14" s="155">
        <v>23.008176459402929</v>
      </c>
      <c r="O14" s="156">
        <f t="shared" si="1"/>
        <v>0.41458150384975045</v>
      </c>
    </row>
    <row r="15" spans="2:15" x14ac:dyDescent="0.3">
      <c r="B15" s="149">
        <v>11</v>
      </c>
      <c r="C15" s="149">
        <v>2026</v>
      </c>
      <c r="D15" s="155">
        <f>FORECAST(B15,D5:D14,B5:B14)</f>
        <v>409204.26066666667</v>
      </c>
      <c r="E15" s="156">
        <f t="shared" si="0"/>
        <v>-6.9345203682855905E-2</v>
      </c>
      <c r="G15" s="149">
        <v>11</v>
      </c>
      <c r="H15" s="149">
        <v>2026</v>
      </c>
      <c r="I15" s="155">
        <f>FORECAST(G15,I5:I14,G5:G14)</f>
        <v>46572.03933333332</v>
      </c>
      <c r="J15" s="156">
        <f t="shared" si="2"/>
        <v>-0.15654811407321578</v>
      </c>
      <c r="L15" s="149">
        <v>11</v>
      </c>
      <c r="M15" s="149">
        <v>2026</v>
      </c>
      <c r="N15" s="155">
        <f>FORECAST(L15,N5:N14,L5:L14)</f>
        <v>23.88191757991693</v>
      </c>
      <c r="O15" s="156">
        <f t="shared" si="1"/>
        <v>3.7975244237877126E-2</v>
      </c>
    </row>
    <row r="16" spans="2:15" x14ac:dyDescent="0.3">
      <c r="B16" s="149">
        <v>12</v>
      </c>
      <c r="C16" s="149">
        <v>2027</v>
      </c>
      <c r="D16" s="155">
        <f>FORECAST(B16,D5:D15,B5:B15)</f>
        <v>426419.19351515151</v>
      </c>
      <c r="E16" s="156">
        <f t="shared" si="0"/>
        <v>4.206929033543938E-2</v>
      </c>
      <c r="G16" s="149">
        <v>12</v>
      </c>
      <c r="H16" s="149">
        <v>2027</v>
      </c>
      <c r="I16" s="155">
        <f t="shared" ref="I16:I19" si="3">FORECAST(G16,I6:I15,G6:G15)</f>
        <v>52509.165733333306</v>
      </c>
      <c r="J16" s="156">
        <f t="shared" si="2"/>
        <v>0.12748263732892973</v>
      </c>
      <c r="L16" s="149">
        <v>12</v>
      </c>
      <c r="M16" s="149">
        <v>2027</v>
      </c>
      <c r="N16" s="155">
        <f t="shared" ref="N16:N19" si="4">FORECAST(L16,N6:N15,L6:L15)</f>
        <v>23.208367656748425</v>
      </c>
      <c r="O16" s="156">
        <f t="shared" si="1"/>
        <v>-2.8203343425609817E-2</v>
      </c>
    </row>
    <row r="17" spans="2:18" x14ac:dyDescent="0.3">
      <c r="B17" s="149">
        <v>13</v>
      </c>
      <c r="C17" s="149">
        <v>2028</v>
      </c>
      <c r="D17" s="155">
        <f>FORECAST(B17,D5:D16,B5:B16)</f>
        <v>443634.12636363634</v>
      </c>
      <c r="E17" s="156">
        <f t="shared" si="0"/>
        <v>4.0370914607700925E-2</v>
      </c>
      <c r="G17" s="149">
        <v>13</v>
      </c>
      <c r="H17" s="149">
        <v>2028</v>
      </c>
      <c r="I17" s="155">
        <f t="shared" si="3"/>
        <v>57927.607404444432</v>
      </c>
      <c r="J17" s="156">
        <f t="shared" si="2"/>
        <v>0.10319039724661727</v>
      </c>
      <c r="L17" s="149">
        <v>13</v>
      </c>
      <c r="M17" s="149">
        <v>2028</v>
      </c>
      <c r="N17" s="155">
        <f t="shared" si="4"/>
        <v>23.618979913881347</v>
      </c>
      <c r="O17" s="156">
        <f t="shared" si="1"/>
        <v>1.7692422974587174E-2</v>
      </c>
    </row>
    <row r="18" spans="2:18" x14ac:dyDescent="0.3">
      <c r="B18" s="149">
        <v>14</v>
      </c>
      <c r="C18" s="149">
        <v>2029</v>
      </c>
      <c r="D18" s="155">
        <f>FORECAST(B18,D6:D17,B6:B17)</f>
        <v>468483.44329476589</v>
      </c>
      <c r="E18" s="156">
        <f t="shared" si="0"/>
        <v>5.6013087033708331E-2</v>
      </c>
      <c r="G18" s="149">
        <v>14</v>
      </c>
      <c r="H18" s="149">
        <v>2029</v>
      </c>
      <c r="I18" s="155">
        <f t="shared" si="3"/>
        <v>64483.791361777752</v>
      </c>
      <c r="J18" s="156">
        <f t="shared" si="2"/>
        <v>0.11317891850009842</v>
      </c>
      <c r="L18" s="149">
        <v>14</v>
      </c>
      <c r="M18" s="149">
        <v>2029</v>
      </c>
      <c r="N18" s="155">
        <f t="shared" si="4"/>
        <v>21.858940112800468</v>
      </c>
      <c r="O18" s="156">
        <f t="shared" si="1"/>
        <v>-7.4518027768272432E-2</v>
      </c>
    </row>
    <row r="19" spans="2:18" x14ac:dyDescent="0.3">
      <c r="B19" s="149">
        <v>15</v>
      </c>
      <c r="C19" s="149">
        <v>2030</v>
      </c>
      <c r="D19" s="155">
        <f>FORECAST(B19,D7:D18,B7:B18)</f>
        <v>493150.5804288339</v>
      </c>
      <c r="E19" s="156">
        <f t="shared" si="0"/>
        <v>5.2653167336263129E-2</v>
      </c>
      <c r="G19" s="149">
        <v>15</v>
      </c>
      <c r="H19" s="149">
        <v>2030</v>
      </c>
      <c r="I19" s="155">
        <f t="shared" si="3"/>
        <v>70086.227075081464</v>
      </c>
      <c r="J19" s="156">
        <f t="shared" si="2"/>
        <v>8.6881301409093448E-2</v>
      </c>
      <c r="L19" s="149">
        <v>15</v>
      </c>
      <c r="M19" s="149">
        <v>2030</v>
      </c>
      <c r="N19" s="155">
        <f t="shared" si="4"/>
        <v>19.077977460813564</v>
      </c>
      <c r="O19" s="156">
        <f t="shared" si="1"/>
        <v>-0.12722312416046144</v>
      </c>
    </row>
    <row r="29" spans="2:18" x14ac:dyDescent="0.3">
      <c r="B29" t="s">
        <v>182</v>
      </c>
      <c r="C29" s="43">
        <f>IFERROR(AVERAGE(E5:E14),0)</f>
        <v>6.1181095933468703E-2</v>
      </c>
      <c r="Q29" t="s">
        <v>182</v>
      </c>
      <c r="R29" s="43">
        <f>IFERROR(AVERAGE(T5:T14),0)</f>
        <v>0</v>
      </c>
    </row>
    <row r="30" spans="2:18" x14ac:dyDescent="0.3">
      <c r="B30" t="s">
        <v>183</v>
      </c>
      <c r="C30" s="43">
        <f>_xlfn.RRI(B14,D5,D14)</f>
        <v>4.8797478253151949E-2</v>
      </c>
      <c r="Q30" t="s">
        <v>183</v>
      </c>
      <c r="R30" s="43" t="e">
        <f>_xlfn.RRI(Q14,S5,S14)</f>
        <v>#NUM!</v>
      </c>
    </row>
    <row r="32" spans="2:18" x14ac:dyDescent="0.3">
      <c r="B32" t="s">
        <v>184</v>
      </c>
      <c r="C32" s="43">
        <f>_xlfn.STDEV.S(E5:E14)</f>
        <v>0.12814973584384318</v>
      </c>
      <c r="Q32" t="s">
        <v>184</v>
      </c>
      <c r="R32" s="43" t="e">
        <f>_xlfn.STDEV.S(T5:T14)</f>
        <v>#DIV/0!</v>
      </c>
    </row>
  </sheetData>
  <mergeCells count="3">
    <mergeCell ref="B3:E3"/>
    <mergeCell ref="G3:J3"/>
    <mergeCell ref="L3:O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8E412-E0B8-406B-9B5A-D26450350A91}">
  <dimension ref="A2:O46"/>
  <sheetViews>
    <sheetView topLeftCell="A30" workbookViewId="0">
      <selection activeCell="B4" sqref="B4:M4"/>
    </sheetView>
  </sheetViews>
  <sheetFormatPr defaultRowHeight="14.4" x14ac:dyDescent="0.3"/>
  <cols>
    <col min="1" max="1" width="1.88671875" customWidth="1"/>
    <col min="2" max="2" width="19.6640625" bestFit="1" customWidth="1"/>
    <col min="3" max="3" width="9.5546875" bestFit="1" customWidth="1"/>
    <col min="4" max="5" width="8" bestFit="1" customWidth="1"/>
    <col min="8" max="8" width="9.5546875" bestFit="1" customWidth="1"/>
    <col min="12" max="12" width="9.5546875" bestFit="1" customWidth="1"/>
    <col min="13" max="13" width="20.21875" bestFit="1" customWidth="1"/>
  </cols>
  <sheetData>
    <row r="2" spans="1:15" s="58" customFormat="1" x14ac:dyDescent="0.3">
      <c r="A2" s="57"/>
      <c r="B2" s="185" t="s">
        <v>186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</row>
    <row r="4" spans="1:15" x14ac:dyDescent="0.3">
      <c r="B4" s="184" t="s">
        <v>187</v>
      </c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</row>
    <row r="6" spans="1:15" x14ac:dyDescent="0.3">
      <c r="B6" s="183" t="s">
        <v>188</v>
      </c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</row>
    <row r="7" spans="1:15" x14ac:dyDescent="0.3">
      <c r="B7" s="44"/>
      <c r="C7" s="44"/>
      <c r="D7" s="44"/>
      <c r="E7" s="44"/>
      <c r="F7" s="44"/>
      <c r="G7" s="44"/>
      <c r="H7" s="44"/>
      <c r="I7" s="44"/>
      <c r="J7" s="44" t="s">
        <v>194</v>
      </c>
      <c r="K7" s="44" t="s">
        <v>196</v>
      </c>
      <c r="L7" s="44" t="s">
        <v>201</v>
      </c>
      <c r="M7" s="44" t="s">
        <v>200</v>
      </c>
    </row>
    <row r="8" spans="1:15" ht="16.2" x14ac:dyDescent="0.3">
      <c r="B8" s="182" t="s">
        <v>189</v>
      </c>
      <c r="C8" s="182"/>
      <c r="D8" s="182"/>
      <c r="E8" s="182"/>
      <c r="F8" s="47" t="s">
        <v>190</v>
      </c>
      <c r="G8" s="47" t="s">
        <v>191</v>
      </c>
      <c r="H8" s="47" t="s">
        <v>192</v>
      </c>
      <c r="I8" s="47" t="s">
        <v>193</v>
      </c>
      <c r="J8" s="47" t="s">
        <v>195</v>
      </c>
      <c r="K8" s="47" t="s">
        <v>197</v>
      </c>
      <c r="L8" s="47" t="s">
        <v>198</v>
      </c>
      <c r="M8" s="47" t="s">
        <v>199</v>
      </c>
    </row>
    <row r="9" spans="1:15" ht="15" thickBot="1" x14ac:dyDescent="0.35">
      <c r="O9">
        <f>G10</f>
        <v>819.62</v>
      </c>
    </row>
    <row r="10" spans="1:15" ht="15" thickBot="1" x14ac:dyDescent="0.35">
      <c r="B10" s="179" t="str">
        <f>'Beta  - Comp '!C4</f>
        <v>Avenue Super.</v>
      </c>
      <c r="C10" s="180"/>
      <c r="D10" s="180"/>
      <c r="E10" s="181"/>
      <c r="F10" s="59" t="s">
        <v>202</v>
      </c>
      <c r="G10" s="60">
        <f>'Beta  - Comp '!F4</f>
        <v>819.62</v>
      </c>
      <c r="H10" s="60">
        <f>'Beta  - Comp '!E4</f>
        <v>261737.44</v>
      </c>
      <c r="I10" s="61">
        <v>0.3</v>
      </c>
      <c r="J10" s="43">
        <f>G10/H10</f>
        <v>3.1314587626439685E-3</v>
      </c>
      <c r="K10" s="43">
        <f>G10/(G10+H10)</f>
        <v>3.1216833399947425E-3</v>
      </c>
      <c r="L10" s="66">
        <f>Beta!N8</f>
        <v>1.2414891157397492</v>
      </c>
      <c r="M10" s="66">
        <f>L10/(1+(1-I10)*J10)</f>
        <v>1.2387736976145196</v>
      </c>
      <c r="O10">
        <f>H10+G10</f>
        <v>262557.06</v>
      </c>
    </row>
    <row r="11" spans="1:15" ht="15" thickBot="1" x14ac:dyDescent="0.35">
      <c r="B11" s="179" t="str">
        <f>'Beta  - Comp '!C5</f>
        <v>Trent</v>
      </c>
      <c r="C11" s="180"/>
      <c r="D11" s="180"/>
      <c r="E11" s="181"/>
      <c r="F11" s="59" t="s">
        <v>202</v>
      </c>
      <c r="G11" s="60">
        <f>'Beta  - Comp '!F5</f>
        <v>2237.19</v>
      </c>
      <c r="H11" s="60">
        <f>'Beta  - Comp '!E5</f>
        <v>183059.4</v>
      </c>
      <c r="I11" s="61">
        <v>0.3</v>
      </c>
      <c r="J11" s="43">
        <f t="shared" ref="J11:J14" si="0">G11/H11</f>
        <v>1.2221115113454977E-2</v>
      </c>
      <c r="K11" s="43">
        <f t="shared" ref="K11:K14" si="1">G11/(G11+H11)</f>
        <v>1.2073562713701316E-2</v>
      </c>
      <c r="L11">
        <v>1.54</v>
      </c>
      <c r="M11" s="66">
        <f t="shared" ref="M11:M14" si="2">L11/(1+(1-I11)*J11)</f>
        <v>1.5269373857067678</v>
      </c>
    </row>
    <row r="12" spans="1:15" ht="15" thickBot="1" x14ac:dyDescent="0.35">
      <c r="B12" s="179" t="str">
        <f>'Beta  - Comp '!C9</f>
        <v>Vedant Fashions</v>
      </c>
      <c r="C12" s="180"/>
      <c r="D12" s="180"/>
      <c r="E12" s="181"/>
      <c r="F12" s="59" t="s">
        <v>202</v>
      </c>
      <c r="G12" s="60">
        <f>'Beta  - Comp '!F9</f>
        <v>482.9</v>
      </c>
      <c r="H12" s="60">
        <f>'Beta  - Comp '!E9</f>
        <v>19296.240000000002</v>
      </c>
      <c r="I12" s="61">
        <v>0.3</v>
      </c>
      <c r="J12" s="43">
        <f t="shared" si="0"/>
        <v>2.5025600842443912E-2</v>
      </c>
      <c r="K12" s="43">
        <f t="shared" si="1"/>
        <v>2.4414610544240038E-2</v>
      </c>
      <c r="L12">
        <v>0.61</v>
      </c>
      <c r="M12" s="66">
        <f t="shared" si="2"/>
        <v>0.59949804092538206</v>
      </c>
      <c r="O12">
        <f>O9/O10</f>
        <v>3.1216833399947425E-3</v>
      </c>
    </row>
    <row r="13" spans="1:15" ht="15" thickBot="1" x14ac:dyDescent="0.35">
      <c r="B13" s="179" t="str">
        <f>'Beta  - Comp '!C15</f>
        <v>Aditya Bir. Fas.</v>
      </c>
      <c r="C13" s="180"/>
      <c r="D13" s="180"/>
      <c r="E13" s="181"/>
      <c r="F13" s="59" t="s">
        <v>202</v>
      </c>
      <c r="G13" s="60">
        <f>'Beta  - Comp '!F15</f>
        <v>5016.78</v>
      </c>
      <c r="H13" s="60">
        <f>'Beta  - Comp '!E15</f>
        <v>9234.98</v>
      </c>
      <c r="I13" s="61">
        <v>0.3</v>
      </c>
      <c r="J13" s="43">
        <f t="shared" si="0"/>
        <v>0.54323669352830217</v>
      </c>
      <c r="K13" s="43">
        <f t="shared" si="1"/>
        <v>0.35201126036363228</v>
      </c>
      <c r="L13">
        <v>0.93</v>
      </c>
      <c r="M13" s="66">
        <f t="shared" si="2"/>
        <v>0.67378332287051601</v>
      </c>
    </row>
    <row r="14" spans="1:15" ht="15" thickBot="1" x14ac:dyDescent="0.35">
      <c r="B14" s="179" t="s">
        <v>285</v>
      </c>
      <c r="C14" s="180"/>
      <c r="D14" s="180"/>
      <c r="E14" s="181"/>
      <c r="F14" s="59" t="s">
        <v>202</v>
      </c>
      <c r="G14" s="60">
        <f>'Beta  - Comp '!F17</f>
        <v>1227.08</v>
      </c>
      <c r="H14" s="60">
        <f>'Beta  - Comp '!E17</f>
        <v>32844.94</v>
      </c>
      <c r="I14" s="61">
        <v>0.3</v>
      </c>
      <c r="J14" s="43">
        <f t="shared" si="0"/>
        <v>3.7359788143927188E-2</v>
      </c>
      <c r="K14" s="43">
        <f t="shared" si="1"/>
        <v>3.6014301470825613E-2</v>
      </c>
      <c r="L14">
        <v>0.79</v>
      </c>
      <c r="M14" s="66">
        <f t="shared" si="2"/>
        <v>0.76986656379428653</v>
      </c>
    </row>
    <row r="17" spans="2:13" x14ac:dyDescent="0.3">
      <c r="H17" s="41" t="s">
        <v>203</v>
      </c>
      <c r="I17" s="135">
        <f>AVERAGE(I10:I14)</f>
        <v>0.3</v>
      </c>
      <c r="J17" s="135">
        <f t="shared" ref="J17:M17" si="3">AVERAGE(J10:J14)</f>
        <v>0.12419493127815444</v>
      </c>
      <c r="K17" s="135">
        <f t="shared" si="3"/>
        <v>8.5527083686478794E-2</v>
      </c>
      <c r="L17" s="136">
        <f t="shared" si="3"/>
        <v>1.0222978231479498</v>
      </c>
      <c r="M17" s="136">
        <f t="shared" si="3"/>
        <v>0.9617718021822943</v>
      </c>
    </row>
    <row r="18" spans="2:13" ht="15" thickBot="1" x14ac:dyDescent="0.35">
      <c r="H18" s="116" t="s">
        <v>178</v>
      </c>
      <c r="I18" s="132">
        <f>MEDIAN(I10:I14)</f>
        <v>0.3</v>
      </c>
      <c r="J18" s="132">
        <f t="shared" ref="J18:M18" si="4">MEDIAN(J10:J14)</f>
        <v>2.5025600842443912E-2</v>
      </c>
      <c r="K18" s="132">
        <f t="shared" si="4"/>
        <v>2.4414610544240038E-2</v>
      </c>
      <c r="L18" s="137">
        <f t="shared" si="4"/>
        <v>0.93</v>
      </c>
      <c r="M18" s="137">
        <f t="shared" si="4"/>
        <v>0.76986656379428653</v>
      </c>
    </row>
    <row r="19" spans="2:13" ht="15" thickTop="1" x14ac:dyDescent="0.3"/>
    <row r="21" spans="2:13" x14ac:dyDescent="0.3">
      <c r="B21" s="47" t="s">
        <v>204</v>
      </c>
      <c r="C21" s="47"/>
      <c r="D21" s="47"/>
      <c r="E21" s="47"/>
      <c r="F21" s="47"/>
      <c r="G21" s="47"/>
      <c r="H21" s="47" t="s">
        <v>205</v>
      </c>
      <c r="I21" s="47"/>
      <c r="J21" s="47"/>
      <c r="K21" s="47"/>
      <c r="L21" s="47"/>
      <c r="M21" s="47"/>
    </row>
    <row r="22" spans="2:13" ht="15" thickBot="1" x14ac:dyDescent="0.35"/>
    <row r="23" spans="2:13" ht="15" thickBot="1" x14ac:dyDescent="0.35">
      <c r="B23" t="s">
        <v>206</v>
      </c>
      <c r="E23" s="61">
        <v>8.4000000000000005E-2</v>
      </c>
      <c r="H23" t="s">
        <v>209</v>
      </c>
      <c r="M23" s="67">
        <v>7.3899999999999993E-2</v>
      </c>
    </row>
    <row r="24" spans="2:13" ht="15" thickBot="1" x14ac:dyDescent="0.35">
      <c r="B24" t="s">
        <v>207</v>
      </c>
      <c r="E24" s="61">
        <v>0.3</v>
      </c>
      <c r="H24" t="s">
        <v>210</v>
      </c>
      <c r="M24" s="67">
        <f>'Rm '!G8-WACC!M23</f>
        <v>7.9447999999999963E-2</v>
      </c>
    </row>
    <row r="25" spans="2:13" ht="16.2" x14ac:dyDescent="0.3">
      <c r="B25" s="44" t="s">
        <v>208</v>
      </c>
      <c r="C25" s="44"/>
      <c r="D25" s="44"/>
      <c r="E25" s="65">
        <f>E23*(1-E24)</f>
        <v>5.8799999999999998E-2</v>
      </c>
      <c r="H25" t="s">
        <v>211</v>
      </c>
      <c r="M25" s="66">
        <f>M34</f>
        <v>0.8202683948360896</v>
      </c>
    </row>
    <row r="26" spans="2:13" x14ac:dyDescent="0.3">
      <c r="H26" s="44" t="s">
        <v>218</v>
      </c>
      <c r="I26" s="44"/>
      <c r="J26" s="44"/>
      <c r="K26" s="44"/>
      <c r="L26" s="44"/>
      <c r="M26" s="49">
        <f>M23+M24*M25</f>
        <v>0.1390686834329376</v>
      </c>
    </row>
    <row r="29" spans="2:13" x14ac:dyDescent="0.3">
      <c r="B29" s="47" t="s">
        <v>212</v>
      </c>
      <c r="C29" s="47"/>
      <c r="D29" s="47"/>
      <c r="E29" s="47"/>
      <c r="H29" s="47" t="s">
        <v>219</v>
      </c>
      <c r="I29" s="47"/>
      <c r="J29" s="47"/>
      <c r="K29" s="47"/>
      <c r="L29" s="47"/>
      <c r="M29" s="47"/>
    </row>
    <row r="31" spans="2:13" ht="15" thickBot="1" x14ac:dyDescent="0.35">
      <c r="D31" t="s">
        <v>216</v>
      </c>
      <c r="E31" t="s">
        <v>217</v>
      </c>
      <c r="H31" t="s">
        <v>220</v>
      </c>
      <c r="M31" s="77">
        <f>M18</f>
        <v>0.76986656379428653</v>
      </c>
    </row>
    <row r="32" spans="2:13" ht="15" thickBot="1" x14ac:dyDescent="0.35">
      <c r="B32" t="s">
        <v>213</v>
      </c>
      <c r="C32" s="62">
        <f>G10</f>
        <v>819.62</v>
      </c>
      <c r="D32" s="5">
        <f>C32/$C$34</f>
        <v>3.1216833399947425E-3</v>
      </c>
      <c r="E32" s="5">
        <f>K17</f>
        <v>8.5527083686478794E-2</v>
      </c>
      <c r="H32" t="s">
        <v>221</v>
      </c>
      <c r="M32" s="5">
        <f>E36</f>
        <v>9.352609810606613E-2</v>
      </c>
    </row>
    <row r="33" spans="2:13" ht="15" thickBot="1" x14ac:dyDescent="0.35">
      <c r="B33" t="s">
        <v>214</v>
      </c>
      <c r="C33" s="62">
        <f>H10</f>
        <v>261737.44</v>
      </c>
      <c r="D33" s="5">
        <f>C33/$C$34</f>
        <v>0.99687831666000526</v>
      </c>
      <c r="E33" s="5">
        <f>E34-E32</f>
        <v>0.91447291631352123</v>
      </c>
      <c r="H33" t="str">
        <f>B24</f>
        <v>Tax Rate</v>
      </c>
      <c r="M33" s="5">
        <f>E24</f>
        <v>0.3</v>
      </c>
    </row>
    <row r="34" spans="2:13" x14ac:dyDescent="0.3">
      <c r="B34" t="s">
        <v>215</v>
      </c>
      <c r="C34" s="66">
        <f>C32+C33</f>
        <v>262557.06</v>
      </c>
      <c r="D34" s="5">
        <f>D32+D33</f>
        <v>1</v>
      </c>
      <c r="E34" s="5">
        <v>1</v>
      </c>
      <c r="H34" s="44" t="s">
        <v>222</v>
      </c>
      <c r="I34" s="44"/>
      <c r="J34" s="44"/>
      <c r="K34" s="44"/>
      <c r="L34" s="44"/>
      <c r="M34" s="64">
        <f>M31*(1+(1-M33)*M32)</f>
        <v>0.8202683948360896</v>
      </c>
    </row>
    <row r="36" spans="2:13" x14ac:dyDescent="0.3">
      <c r="B36" t="s">
        <v>223</v>
      </c>
      <c r="D36" s="5">
        <f>D32/D33</f>
        <v>3.1314587626439685E-3</v>
      </c>
      <c r="E36" s="5">
        <f>E32/E33</f>
        <v>9.352609810606613E-2</v>
      </c>
    </row>
    <row r="37" spans="2:13" x14ac:dyDescent="0.3">
      <c r="H37" s="63" t="str">
        <f>B2</f>
        <v>Weighted Average Cost of Capital</v>
      </c>
      <c r="I37" s="63"/>
      <c r="J37" s="63"/>
      <c r="K37" s="63"/>
      <c r="L37" s="63"/>
      <c r="M37" s="63"/>
    </row>
    <row r="38" spans="2:13" x14ac:dyDescent="0.3">
      <c r="B38" s="69" t="s">
        <v>224</v>
      </c>
    </row>
    <row r="39" spans="2:13" x14ac:dyDescent="0.3">
      <c r="B39" s="69" t="s">
        <v>225</v>
      </c>
      <c r="H39" s="44" t="s">
        <v>204</v>
      </c>
      <c r="I39" s="44"/>
      <c r="J39" s="44"/>
      <c r="K39" s="44"/>
      <c r="L39" s="44"/>
      <c r="M39" s="49">
        <f>E25</f>
        <v>5.8799999999999998E-2</v>
      </c>
    </row>
    <row r="40" spans="2:13" ht="15" thickBot="1" x14ac:dyDescent="0.35">
      <c r="B40" s="69" t="s">
        <v>226</v>
      </c>
      <c r="H40" s="138" t="s">
        <v>293</v>
      </c>
      <c r="I40" s="138"/>
      <c r="J40" s="138"/>
      <c r="K40" s="138"/>
      <c r="L40" s="139"/>
      <c r="M40" s="140">
        <f>E32</f>
        <v>8.5527083686478794E-2</v>
      </c>
    </row>
    <row r="41" spans="2:13" ht="15" thickTop="1" x14ac:dyDescent="0.3">
      <c r="B41" s="69" t="s">
        <v>227</v>
      </c>
      <c r="L41" s="5"/>
      <c r="M41" s="5"/>
    </row>
    <row r="42" spans="2:13" x14ac:dyDescent="0.3">
      <c r="H42" s="44" t="s">
        <v>294</v>
      </c>
      <c r="I42" s="44"/>
      <c r="J42" s="44"/>
      <c r="K42" s="44"/>
      <c r="L42" s="44"/>
      <c r="M42" s="45">
        <f>M26</f>
        <v>0.1390686834329376</v>
      </c>
    </row>
    <row r="43" spans="2:13" ht="15" thickBot="1" x14ac:dyDescent="0.35">
      <c r="H43" s="138" t="s">
        <v>295</v>
      </c>
      <c r="I43" s="138"/>
      <c r="J43" s="138"/>
      <c r="K43" s="138"/>
      <c r="L43" s="138"/>
      <c r="M43" s="139">
        <f>E33</f>
        <v>0.91447291631352123</v>
      </c>
    </row>
    <row r="44" spans="2:13" ht="15" thickTop="1" x14ac:dyDescent="0.3"/>
    <row r="45" spans="2:13" ht="15" thickBot="1" x14ac:dyDescent="0.35">
      <c r="H45" s="119" t="s">
        <v>355</v>
      </c>
      <c r="I45" s="119"/>
      <c r="J45" s="119"/>
      <c r="K45" s="119"/>
      <c r="L45" s="119"/>
      <c r="M45" s="132">
        <f>(M39*M40)+(M42*M43)</f>
        <v>0.13220353702756527</v>
      </c>
    </row>
    <row r="46" spans="2:13" ht="15" thickTop="1" x14ac:dyDescent="0.3"/>
  </sheetData>
  <mergeCells count="9">
    <mergeCell ref="B14:E14"/>
    <mergeCell ref="B8:E8"/>
    <mergeCell ref="B6:M6"/>
    <mergeCell ref="B4:M4"/>
    <mergeCell ref="B2:M2"/>
    <mergeCell ref="B10:E10"/>
    <mergeCell ref="B11:E11"/>
    <mergeCell ref="B12:E12"/>
    <mergeCell ref="B13:E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7F754-664F-448B-A214-8698D0549B85}">
  <dimension ref="B2:U109"/>
  <sheetViews>
    <sheetView topLeftCell="A2" workbookViewId="0">
      <selection activeCell="N6" sqref="N6"/>
    </sheetView>
  </sheetViews>
  <sheetFormatPr defaultRowHeight="14.4" x14ac:dyDescent="0.3"/>
  <cols>
    <col min="2" max="2" width="10.5546875" bestFit="1" customWidth="1"/>
    <col min="3" max="3" width="11.5546875" bestFit="1" customWidth="1"/>
    <col min="4" max="5" width="11" customWidth="1"/>
    <col min="6" max="6" width="11.5546875" bestFit="1" customWidth="1"/>
    <col min="9" max="9" width="19.109375" customWidth="1"/>
  </cols>
  <sheetData>
    <row r="2" spans="2:14" ht="14.4" customHeight="1" x14ac:dyDescent="0.3">
      <c r="B2" s="187" t="s">
        <v>231</v>
      </c>
      <c r="C2" s="187"/>
      <c r="D2" s="187"/>
      <c r="F2" s="186" t="s">
        <v>232</v>
      </c>
      <c r="G2" s="186"/>
      <c r="I2" s="173" t="s">
        <v>260</v>
      </c>
      <c r="J2" s="173"/>
    </row>
    <row r="3" spans="2:14" x14ac:dyDescent="0.3">
      <c r="B3" s="72"/>
      <c r="C3" s="72"/>
      <c r="D3" s="72"/>
      <c r="F3" s="70"/>
      <c r="G3" s="70"/>
      <c r="H3" s="70"/>
      <c r="I3" s="70"/>
    </row>
    <row r="4" spans="2:14" x14ac:dyDescent="0.3">
      <c r="B4" s="58" t="s">
        <v>228</v>
      </c>
      <c r="C4" s="158" t="s">
        <v>229</v>
      </c>
      <c r="D4" s="159" t="s">
        <v>230</v>
      </c>
      <c r="F4" s="164" t="s">
        <v>229</v>
      </c>
      <c r="G4" s="164" t="s">
        <v>230</v>
      </c>
      <c r="H4" s="76"/>
      <c r="I4" s="76"/>
    </row>
    <row r="5" spans="2:14" x14ac:dyDescent="0.3">
      <c r="B5" s="160">
        <v>44249</v>
      </c>
      <c r="C5" s="161">
        <v>2994.2</v>
      </c>
      <c r="D5" s="162"/>
      <c r="F5" s="161">
        <v>14529.2</v>
      </c>
      <c r="G5" s="162"/>
      <c r="H5" s="70"/>
      <c r="I5" t="s">
        <v>261</v>
      </c>
      <c r="J5" s="66">
        <f>N5</f>
        <v>1.2414891157397494</v>
      </c>
      <c r="M5" t="s">
        <v>233</v>
      </c>
      <c r="N5">
        <f>SLOPE(D5:D109,G5:G109)</f>
        <v>1.2414891157397494</v>
      </c>
    </row>
    <row r="6" spans="2:14" x14ac:dyDescent="0.3">
      <c r="B6" s="160">
        <v>44256</v>
      </c>
      <c r="C6" s="161">
        <v>3286.1</v>
      </c>
      <c r="D6" s="163">
        <v>9.7500000000000003E-2</v>
      </c>
      <c r="F6" s="161">
        <v>14938.1</v>
      </c>
      <c r="G6" s="163">
        <v>2.81E-2</v>
      </c>
      <c r="H6" s="71"/>
      <c r="I6" s="71" t="s">
        <v>262</v>
      </c>
      <c r="J6" s="5">
        <v>0.75</v>
      </c>
      <c r="M6" t="s">
        <v>234</v>
      </c>
      <c r="N6">
        <f>_xlfn.COVARIANCE.S(D5:D109,G5:G109)/_xlfn.VAR.S(G5:G109)</f>
        <v>1.241489115739749</v>
      </c>
    </row>
    <row r="7" spans="2:14" x14ac:dyDescent="0.3">
      <c r="B7" s="160">
        <v>44263</v>
      </c>
      <c r="C7" s="161">
        <v>3129.4</v>
      </c>
      <c r="D7" s="163">
        <v>-4.7699999999999999E-2</v>
      </c>
      <c r="F7" s="161">
        <v>15031</v>
      </c>
      <c r="G7" s="163">
        <v>6.1999999999999998E-3</v>
      </c>
      <c r="H7" s="71"/>
      <c r="I7" s="71"/>
    </row>
    <row r="8" spans="2:14" x14ac:dyDescent="0.3">
      <c r="B8" s="160">
        <v>44270</v>
      </c>
      <c r="C8" s="161">
        <v>2960.3</v>
      </c>
      <c r="D8" s="163">
        <v>-5.3999999999999999E-2</v>
      </c>
      <c r="F8" s="161">
        <v>14744</v>
      </c>
      <c r="G8" s="163">
        <v>-1.9099999999999999E-2</v>
      </c>
      <c r="H8" s="71"/>
      <c r="I8" s="71" t="s">
        <v>263</v>
      </c>
      <c r="J8" s="66">
        <v>1</v>
      </c>
      <c r="M8" t="s">
        <v>235</v>
      </c>
      <c r="N8" s="68">
        <f>N27</f>
        <v>1.2414891157397492</v>
      </c>
    </row>
    <row r="9" spans="2:14" x14ac:dyDescent="0.3">
      <c r="B9" s="160">
        <v>44277</v>
      </c>
      <c r="C9" s="161">
        <v>2855.2</v>
      </c>
      <c r="D9" s="163">
        <v>-3.5499999999999997E-2</v>
      </c>
      <c r="F9" s="161">
        <v>14507.3</v>
      </c>
      <c r="G9" s="163">
        <v>-1.61E-2</v>
      </c>
      <c r="H9" s="71"/>
      <c r="I9" s="71" t="s">
        <v>264</v>
      </c>
      <c r="J9" s="5">
        <v>0.25</v>
      </c>
    </row>
    <row r="10" spans="2:14" x14ac:dyDescent="0.3">
      <c r="B10" s="160">
        <v>44284</v>
      </c>
      <c r="C10" s="161">
        <v>2912.7</v>
      </c>
      <c r="D10" s="163">
        <v>2.01E-2</v>
      </c>
      <c r="F10" s="161">
        <v>14867.3</v>
      </c>
      <c r="G10" s="163">
        <v>2.4799999999999999E-2</v>
      </c>
      <c r="H10" s="71"/>
      <c r="I10" s="71"/>
      <c r="M10" t="s">
        <v>236</v>
      </c>
    </row>
    <row r="11" spans="2:14" ht="15" thickBot="1" x14ac:dyDescent="0.35">
      <c r="B11" s="160">
        <v>44291</v>
      </c>
      <c r="C11" s="161">
        <v>2947.8</v>
      </c>
      <c r="D11" s="163">
        <v>1.2E-2</v>
      </c>
      <c r="F11" s="161">
        <v>14834.8</v>
      </c>
      <c r="G11" s="163">
        <v>-2.2000000000000001E-3</v>
      </c>
      <c r="H11" s="71"/>
      <c r="I11" s="71"/>
    </row>
    <row r="12" spans="2:14" x14ac:dyDescent="0.3">
      <c r="B12" s="160">
        <v>44298</v>
      </c>
      <c r="C12" s="161">
        <v>2919.9</v>
      </c>
      <c r="D12" s="163">
        <v>-9.4000000000000004E-3</v>
      </c>
      <c r="F12" s="161">
        <v>14617.8</v>
      </c>
      <c r="G12" s="163">
        <v>-1.46E-2</v>
      </c>
      <c r="H12" s="71"/>
      <c r="I12" s="71" t="s">
        <v>265</v>
      </c>
      <c r="J12" s="66">
        <f>(J5*J6)+(J8*J9)</f>
        <v>1.1811168368048119</v>
      </c>
      <c r="M12" s="75" t="s">
        <v>237</v>
      </c>
      <c r="N12" s="75"/>
    </row>
    <row r="13" spans="2:14" x14ac:dyDescent="0.3">
      <c r="B13" s="160">
        <v>44305</v>
      </c>
      <c r="C13" s="161">
        <v>2713.7</v>
      </c>
      <c r="D13" s="163">
        <v>-7.0599999999999996E-2</v>
      </c>
      <c r="F13" s="161">
        <v>14341.3</v>
      </c>
      <c r="G13" s="163">
        <v>-1.89E-2</v>
      </c>
      <c r="H13" s="71"/>
      <c r="I13" s="71"/>
      <c r="M13" t="s">
        <v>238</v>
      </c>
      <c r="N13">
        <v>0.51083870975242507</v>
      </c>
    </row>
    <row r="14" spans="2:14" x14ac:dyDescent="0.3">
      <c r="B14" s="160">
        <v>44312</v>
      </c>
      <c r="C14" s="161">
        <v>2852.9</v>
      </c>
      <c r="D14" s="163">
        <v>5.1299999999999998E-2</v>
      </c>
      <c r="F14" s="161">
        <v>14631.1</v>
      </c>
      <c r="G14" s="163">
        <v>2.0199999999999999E-2</v>
      </c>
      <c r="H14" s="71"/>
      <c r="I14" s="71"/>
      <c r="M14" t="s">
        <v>239</v>
      </c>
      <c r="N14">
        <v>0.26095618738152243</v>
      </c>
    </row>
    <row r="15" spans="2:14" x14ac:dyDescent="0.3">
      <c r="B15" s="160">
        <v>44319</v>
      </c>
      <c r="C15" s="161">
        <v>2895.5</v>
      </c>
      <c r="D15" s="163">
        <v>1.49E-2</v>
      </c>
      <c r="F15" s="161">
        <v>14823.2</v>
      </c>
      <c r="G15" s="163">
        <v>1.3100000000000001E-2</v>
      </c>
      <c r="H15" s="71"/>
      <c r="I15" s="71"/>
      <c r="M15" t="s">
        <v>240</v>
      </c>
      <c r="N15">
        <v>0.2537106598068315</v>
      </c>
    </row>
    <row r="16" spans="2:14" x14ac:dyDescent="0.3">
      <c r="B16" s="160">
        <v>44326</v>
      </c>
      <c r="C16" s="161">
        <v>2844.6</v>
      </c>
      <c r="D16" s="163">
        <v>-1.7600000000000001E-2</v>
      </c>
      <c r="F16" s="161">
        <v>14677.8</v>
      </c>
      <c r="G16" s="163">
        <v>-9.7999999999999997E-3</v>
      </c>
      <c r="H16" s="71"/>
      <c r="I16" s="71"/>
      <c r="M16" t="s">
        <v>241</v>
      </c>
      <c r="N16">
        <v>4.2295755227800644E-2</v>
      </c>
    </row>
    <row r="17" spans="2:21" ht="15" thickBot="1" x14ac:dyDescent="0.35">
      <c r="B17" s="160">
        <v>44333</v>
      </c>
      <c r="C17" s="161">
        <v>3034.1</v>
      </c>
      <c r="D17" s="163">
        <v>6.6600000000000006E-2</v>
      </c>
      <c r="F17" s="161">
        <v>15175.3</v>
      </c>
      <c r="G17" s="163">
        <v>3.39E-2</v>
      </c>
      <c r="H17" s="71"/>
      <c r="I17" s="71"/>
      <c r="M17" s="73" t="s">
        <v>242</v>
      </c>
      <c r="N17" s="73">
        <v>104</v>
      </c>
    </row>
    <row r="18" spans="2:21" x14ac:dyDescent="0.3">
      <c r="B18" s="160">
        <v>44340</v>
      </c>
      <c r="C18" s="161">
        <v>3022.1</v>
      </c>
      <c r="D18" s="163">
        <v>-4.0000000000000001E-3</v>
      </c>
      <c r="F18" s="161">
        <v>15435.7</v>
      </c>
      <c r="G18" s="163">
        <v>1.72E-2</v>
      </c>
      <c r="H18" s="71"/>
      <c r="I18" s="71"/>
    </row>
    <row r="19" spans="2:21" ht="15" thickBot="1" x14ac:dyDescent="0.35">
      <c r="B19" s="160">
        <v>44347</v>
      </c>
      <c r="C19" s="161">
        <v>3197</v>
      </c>
      <c r="D19" s="163">
        <v>5.79E-2</v>
      </c>
      <c r="F19" s="161">
        <v>15670.3</v>
      </c>
      <c r="G19" s="163">
        <v>1.52E-2</v>
      </c>
      <c r="H19" s="71"/>
      <c r="I19" s="71"/>
      <c r="M19" t="s">
        <v>243</v>
      </c>
    </row>
    <row r="20" spans="2:21" x14ac:dyDescent="0.3">
      <c r="B20" s="160">
        <v>44354</v>
      </c>
      <c r="C20" s="161">
        <v>3175.6</v>
      </c>
      <c r="D20" s="163">
        <v>-6.7000000000000002E-3</v>
      </c>
      <c r="F20" s="161">
        <v>15799.3</v>
      </c>
      <c r="G20" s="163">
        <v>8.2000000000000007E-3</v>
      </c>
      <c r="H20" s="71"/>
      <c r="I20" s="71"/>
      <c r="M20" s="74"/>
      <c r="N20" s="74" t="s">
        <v>247</v>
      </c>
      <c r="O20" s="74" t="s">
        <v>248</v>
      </c>
      <c r="P20" s="74" t="s">
        <v>249</v>
      </c>
      <c r="Q20" s="74" t="s">
        <v>250</v>
      </c>
      <c r="R20" s="74" t="s">
        <v>251</v>
      </c>
    </row>
    <row r="21" spans="2:21" x14ac:dyDescent="0.3">
      <c r="B21" s="160">
        <v>44361</v>
      </c>
      <c r="C21" s="161">
        <v>3317.7</v>
      </c>
      <c r="D21" s="163">
        <v>4.48E-2</v>
      </c>
      <c r="F21" s="161">
        <v>15683.3</v>
      </c>
      <c r="G21" s="163">
        <v>-7.3000000000000001E-3</v>
      </c>
      <c r="H21" s="71"/>
      <c r="I21" s="71"/>
      <c r="M21" t="s">
        <v>244</v>
      </c>
      <c r="N21">
        <v>1</v>
      </c>
      <c r="O21">
        <v>6.4430448304263505E-2</v>
      </c>
      <c r="P21">
        <v>6.4430448304263505E-2</v>
      </c>
      <c r="Q21">
        <v>36.016174763181823</v>
      </c>
      <c r="R21">
        <v>3.015403774024112E-8</v>
      </c>
    </row>
    <row r="22" spans="2:21" x14ac:dyDescent="0.3">
      <c r="B22" s="160">
        <v>44368</v>
      </c>
      <c r="C22" s="161">
        <v>3315.4</v>
      </c>
      <c r="D22" s="163">
        <v>-6.9999999999999999E-4</v>
      </c>
      <c r="F22" s="161">
        <v>15860.3</v>
      </c>
      <c r="G22" s="163">
        <v>1.1299999999999999E-2</v>
      </c>
      <c r="H22" s="71"/>
      <c r="I22" s="71"/>
      <c r="M22" t="s">
        <v>245</v>
      </c>
      <c r="N22">
        <v>102</v>
      </c>
      <c r="O22">
        <v>0.18247095284958259</v>
      </c>
      <c r="P22">
        <v>1.7889309102900254E-3</v>
      </c>
    </row>
    <row r="23" spans="2:21" ht="15" thickBot="1" x14ac:dyDescent="0.35">
      <c r="B23" s="160">
        <v>44375</v>
      </c>
      <c r="C23" s="161">
        <v>3314.3</v>
      </c>
      <c r="D23" s="163">
        <v>-2.9999999999999997E-4</v>
      </c>
      <c r="F23" s="161">
        <v>15722.2</v>
      </c>
      <c r="G23" s="163">
        <v>-8.6999999999999994E-3</v>
      </c>
      <c r="H23" s="71"/>
      <c r="I23" s="71"/>
      <c r="M23" s="73" t="s">
        <v>26</v>
      </c>
      <c r="N23" s="73">
        <v>103</v>
      </c>
      <c r="O23" s="73">
        <v>0.2469014011538461</v>
      </c>
      <c r="P23" s="73"/>
      <c r="Q23" s="73"/>
      <c r="R23" s="73"/>
    </row>
    <row r="24" spans="2:21" ht="15" thickBot="1" x14ac:dyDescent="0.35">
      <c r="B24" s="160">
        <v>44382</v>
      </c>
      <c r="C24" s="161">
        <v>3377.6</v>
      </c>
      <c r="D24" s="163">
        <v>1.9099999999999999E-2</v>
      </c>
      <c r="F24" s="161">
        <v>15689.8</v>
      </c>
      <c r="G24" s="163">
        <v>-2.0999999999999999E-3</v>
      </c>
      <c r="H24" s="71"/>
      <c r="I24" s="71"/>
    </row>
    <row r="25" spans="2:21" x14ac:dyDescent="0.3">
      <c r="B25" s="160">
        <v>44389</v>
      </c>
      <c r="C25" s="161">
        <v>3349.2</v>
      </c>
      <c r="D25" s="163">
        <v>-8.3999999999999995E-3</v>
      </c>
      <c r="F25" s="161">
        <v>15923.4</v>
      </c>
      <c r="G25" s="163">
        <v>1.49E-2</v>
      </c>
      <c r="H25" s="71"/>
      <c r="I25" s="71"/>
      <c r="M25" s="74"/>
      <c r="N25" s="74" t="s">
        <v>252</v>
      </c>
      <c r="O25" s="74" t="s">
        <v>241</v>
      </c>
      <c r="P25" s="74" t="s">
        <v>253</v>
      </c>
      <c r="Q25" s="74" t="s">
        <v>254</v>
      </c>
      <c r="R25" s="74" t="s">
        <v>255</v>
      </c>
      <c r="S25" s="74" t="s">
        <v>256</v>
      </c>
      <c r="T25" s="74" t="s">
        <v>257</v>
      </c>
      <c r="U25" s="74" t="s">
        <v>258</v>
      </c>
    </row>
    <row r="26" spans="2:21" x14ac:dyDescent="0.3">
      <c r="B26" s="160">
        <v>44396</v>
      </c>
      <c r="C26" s="161">
        <v>3413.2</v>
      </c>
      <c r="D26" s="163">
        <v>1.9099999999999999E-2</v>
      </c>
      <c r="F26" s="161">
        <v>15856</v>
      </c>
      <c r="G26" s="163">
        <v>-4.1999999999999997E-3</v>
      </c>
      <c r="H26" s="71"/>
      <c r="I26" s="71"/>
      <c r="M26" t="s">
        <v>246</v>
      </c>
      <c r="N26">
        <v>1.1322271172758318E-4</v>
      </c>
      <c r="O26">
        <v>4.1717746367836497E-3</v>
      </c>
      <c r="P26">
        <v>2.7140179320634516E-2</v>
      </c>
      <c r="Q26">
        <v>0.97840095705079122</v>
      </c>
      <c r="R26">
        <v>-8.1614725001256713E-3</v>
      </c>
      <c r="S26">
        <v>8.3879179235808368E-3</v>
      </c>
      <c r="T26">
        <v>-8.1614725001256713E-3</v>
      </c>
      <c r="U26">
        <v>8.3879179235808368E-3</v>
      </c>
    </row>
    <row r="27" spans="2:21" ht="15" thickBot="1" x14ac:dyDescent="0.35">
      <c r="B27" s="160">
        <v>44403</v>
      </c>
      <c r="C27" s="161">
        <v>3500.8</v>
      </c>
      <c r="D27" s="163">
        <v>2.5700000000000001E-2</v>
      </c>
      <c r="F27" s="161">
        <v>15763</v>
      </c>
      <c r="G27" s="163">
        <v>-5.8999999999999999E-3</v>
      </c>
      <c r="H27" s="71"/>
      <c r="I27" s="71"/>
      <c r="M27" s="73" t="s">
        <v>259</v>
      </c>
      <c r="N27" s="73">
        <v>1.2414891157397492</v>
      </c>
      <c r="O27" s="73">
        <v>0.20686838496527571</v>
      </c>
      <c r="P27" s="73">
        <v>6.0013477455636428</v>
      </c>
      <c r="Q27" s="73">
        <v>3.015403774024112E-8</v>
      </c>
      <c r="R27" s="73">
        <v>0.83116665501456399</v>
      </c>
      <c r="S27" s="73">
        <v>1.6518115764649344</v>
      </c>
      <c r="T27" s="73">
        <v>0.83116665501456399</v>
      </c>
      <c r="U27" s="73">
        <v>1.6518115764649344</v>
      </c>
    </row>
    <row r="28" spans="2:21" x14ac:dyDescent="0.3">
      <c r="B28" s="160">
        <v>44410</v>
      </c>
      <c r="C28" s="161">
        <v>3529.2</v>
      </c>
      <c r="D28" s="163">
        <v>8.0999999999999996E-3</v>
      </c>
      <c r="F28" s="161">
        <v>16238.2</v>
      </c>
      <c r="G28" s="163">
        <v>3.0099999999999998E-2</v>
      </c>
      <c r="H28" s="71"/>
      <c r="I28" s="71"/>
    </row>
    <row r="29" spans="2:21" x14ac:dyDescent="0.3">
      <c r="B29" s="160">
        <v>44417</v>
      </c>
      <c r="C29" s="161">
        <v>3594.6</v>
      </c>
      <c r="D29" s="163">
        <v>1.8499999999999999E-2</v>
      </c>
      <c r="F29" s="161">
        <v>16529.099999999999</v>
      </c>
      <c r="G29" s="163">
        <v>1.7899999999999999E-2</v>
      </c>
      <c r="H29" s="71"/>
      <c r="I29" s="71"/>
    </row>
    <row r="30" spans="2:21" x14ac:dyDescent="0.3">
      <c r="B30" s="160">
        <v>44424</v>
      </c>
      <c r="C30" s="161">
        <v>3643.1</v>
      </c>
      <c r="D30" s="163">
        <v>1.35E-2</v>
      </c>
      <c r="F30" s="161">
        <v>16450.5</v>
      </c>
      <c r="G30" s="163">
        <v>-4.7999999999999996E-3</v>
      </c>
      <c r="H30" s="71"/>
      <c r="I30" s="71"/>
    </row>
    <row r="31" spans="2:21" x14ac:dyDescent="0.3">
      <c r="B31" s="160">
        <v>44431</v>
      </c>
      <c r="C31" s="161">
        <v>3833.1</v>
      </c>
      <c r="D31" s="163">
        <v>5.21E-2</v>
      </c>
      <c r="F31" s="161">
        <v>16705.2</v>
      </c>
      <c r="G31" s="163">
        <v>1.55E-2</v>
      </c>
      <c r="H31" s="71"/>
      <c r="I31" s="71"/>
    </row>
    <row r="32" spans="2:21" x14ac:dyDescent="0.3">
      <c r="B32" s="160">
        <v>44438</v>
      </c>
      <c r="C32" s="161">
        <v>3938.9</v>
      </c>
      <c r="D32" s="163">
        <v>2.76E-2</v>
      </c>
      <c r="F32" s="161">
        <v>17323.599999999999</v>
      </c>
      <c r="G32" s="163">
        <v>3.6999999999999998E-2</v>
      </c>
      <c r="H32" s="71"/>
      <c r="I32" s="71"/>
    </row>
    <row r="33" spans="2:9" x14ac:dyDescent="0.3">
      <c r="B33" s="160">
        <v>44445</v>
      </c>
      <c r="C33" s="161">
        <v>3950.5</v>
      </c>
      <c r="D33" s="163">
        <v>2.8999999999999998E-3</v>
      </c>
      <c r="F33" s="161">
        <v>17369.3</v>
      </c>
      <c r="G33" s="163">
        <v>2.5999999999999999E-3</v>
      </c>
      <c r="H33" s="71"/>
      <c r="I33" s="71"/>
    </row>
    <row r="34" spans="2:9" x14ac:dyDescent="0.3">
      <c r="B34" s="160">
        <v>44452</v>
      </c>
      <c r="C34" s="161">
        <v>4239.6000000000004</v>
      </c>
      <c r="D34" s="163">
        <v>7.3200000000000001E-2</v>
      </c>
      <c r="F34" s="161">
        <v>17585.2</v>
      </c>
      <c r="G34" s="163">
        <v>1.24E-2</v>
      </c>
      <c r="H34" s="71"/>
      <c r="I34" s="71"/>
    </row>
    <row r="35" spans="2:9" x14ac:dyDescent="0.3">
      <c r="B35" s="160">
        <v>44459</v>
      </c>
      <c r="C35" s="161">
        <v>4422.3999999999996</v>
      </c>
      <c r="D35" s="163">
        <v>4.3099999999999999E-2</v>
      </c>
      <c r="F35" s="161">
        <v>17853.2</v>
      </c>
      <c r="G35" s="163">
        <v>1.52E-2</v>
      </c>
      <c r="H35" s="71"/>
      <c r="I35" s="71"/>
    </row>
    <row r="36" spans="2:9" x14ac:dyDescent="0.3">
      <c r="B36" s="160">
        <v>44466</v>
      </c>
      <c r="C36" s="161">
        <v>4235.6000000000004</v>
      </c>
      <c r="D36" s="163">
        <v>-4.2200000000000001E-2</v>
      </c>
      <c r="F36" s="161">
        <v>17532.099999999999</v>
      </c>
      <c r="G36" s="163">
        <v>-1.7999999999999999E-2</v>
      </c>
      <c r="H36" s="71"/>
      <c r="I36" s="71"/>
    </row>
    <row r="37" spans="2:9" x14ac:dyDescent="0.3">
      <c r="B37" s="160">
        <v>44473</v>
      </c>
      <c r="C37" s="161">
        <v>4408</v>
      </c>
      <c r="D37" s="163">
        <v>4.07E-2</v>
      </c>
      <c r="F37" s="161">
        <v>17895.2</v>
      </c>
      <c r="G37" s="163">
        <v>2.07E-2</v>
      </c>
      <c r="H37" s="71"/>
      <c r="I37" s="71"/>
    </row>
    <row r="38" spans="2:9" x14ac:dyDescent="0.3">
      <c r="B38" s="160">
        <v>44480</v>
      </c>
      <c r="C38" s="161">
        <v>5323.8</v>
      </c>
      <c r="D38" s="163">
        <v>0.20780000000000001</v>
      </c>
      <c r="F38" s="161">
        <v>18338.599999999999</v>
      </c>
      <c r="G38" s="163">
        <v>2.4799999999999999E-2</v>
      </c>
      <c r="H38" s="71"/>
      <c r="I38" s="71"/>
    </row>
    <row r="39" spans="2:9" x14ac:dyDescent="0.3">
      <c r="B39" s="160">
        <v>44487</v>
      </c>
      <c r="C39" s="161">
        <v>4521.5</v>
      </c>
      <c r="D39" s="163">
        <v>-0.1507</v>
      </c>
      <c r="F39" s="161">
        <v>18114.900000000001</v>
      </c>
      <c r="G39" s="163">
        <v>-1.2200000000000001E-2</v>
      </c>
      <c r="H39" s="71"/>
      <c r="I39" s="71"/>
    </row>
    <row r="40" spans="2:9" x14ac:dyDescent="0.3">
      <c r="B40" s="160">
        <v>44494</v>
      </c>
      <c r="C40" s="161">
        <v>4635.5</v>
      </c>
      <c r="D40" s="163">
        <v>2.52E-2</v>
      </c>
      <c r="F40" s="161">
        <v>17671.7</v>
      </c>
      <c r="G40" s="163">
        <v>-2.4500000000000001E-2</v>
      </c>
      <c r="H40" s="71"/>
      <c r="I40" s="71"/>
    </row>
    <row r="41" spans="2:9" x14ac:dyDescent="0.3">
      <c r="B41" s="160">
        <v>44501</v>
      </c>
      <c r="C41" s="161">
        <v>4783.7</v>
      </c>
      <c r="D41" s="163">
        <v>3.2000000000000001E-2</v>
      </c>
      <c r="F41" s="161">
        <v>17916.8</v>
      </c>
      <c r="G41" s="163">
        <v>1.3899999999999999E-2</v>
      </c>
      <c r="H41" s="71"/>
      <c r="I41" s="71"/>
    </row>
    <row r="42" spans="2:9" x14ac:dyDescent="0.3">
      <c r="B42" s="160">
        <v>44508</v>
      </c>
      <c r="C42" s="161">
        <v>5078.5</v>
      </c>
      <c r="D42" s="163">
        <v>6.1600000000000002E-2</v>
      </c>
      <c r="F42" s="161">
        <v>18102.8</v>
      </c>
      <c r="G42" s="163">
        <v>1.04E-2</v>
      </c>
      <c r="H42" s="71"/>
      <c r="I42" s="71"/>
    </row>
    <row r="43" spans="2:9" x14ac:dyDescent="0.3">
      <c r="B43" s="160">
        <v>44515</v>
      </c>
      <c r="C43" s="161">
        <v>5080.8999999999996</v>
      </c>
      <c r="D43" s="163">
        <v>5.0000000000000001E-4</v>
      </c>
      <c r="F43" s="161">
        <v>17764.8</v>
      </c>
      <c r="G43" s="163">
        <v>-1.8700000000000001E-2</v>
      </c>
      <c r="H43" s="71"/>
      <c r="I43" s="71"/>
    </row>
    <row r="44" spans="2:9" x14ac:dyDescent="0.3">
      <c r="B44" s="160">
        <v>44522</v>
      </c>
      <c r="C44" s="161">
        <v>4718.8</v>
      </c>
      <c r="D44" s="163">
        <v>-7.1300000000000002E-2</v>
      </c>
      <c r="F44" s="161">
        <v>17026.400000000001</v>
      </c>
      <c r="G44" s="163">
        <v>-4.1599999999999998E-2</v>
      </c>
      <c r="H44" s="71"/>
      <c r="I44" s="71"/>
    </row>
    <row r="45" spans="2:9" x14ac:dyDescent="0.3">
      <c r="B45" s="160">
        <v>44529</v>
      </c>
      <c r="C45" s="161">
        <v>4799</v>
      </c>
      <c r="D45" s="163">
        <v>1.7000000000000001E-2</v>
      </c>
      <c r="F45" s="161">
        <v>17196.7</v>
      </c>
      <c r="G45" s="163">
        <v>0.01</v>
      </c>
      <c r="H45" s="71"/>
      <c r="I45" s="71"/>
    </row>
    <row r="46" spans="2:9" x14ac:dyDescent="0.3">
      <c r="B46" s="160">
        <v>44536</v>
      </c>
      <c r="C46" s="161">
        <v>4796.6000000000004</v>
      </c>
      <c r="D46" s="163">
        <v>-5.0000000000000001E-4</v>
      </c>
      <c r="F46" s="161">
        <v>17511.3</v>
      </c>
      <c r="G46" s="163">
        <v>1.83E-2</v>
      </c>
      <c r="H46" s="71"/>
      <c r="I46" s="71"/>
    </row>
    <row r="47" spans="2:9" x14ac:dyDescent="0.3">
      <c r="B47" s="160">
        <v>44543</v>
      </c>
      <c r="C47" s="161">
        <v>4697.8</v>
      </c>
      <c r="D47" s="163">
        <v>-2.06E-2</v>
      </c>
      <c r="F47" s="161">
        <v>16985.2</v>
      </c>
      <c r="G47" s="163">
        <v>-0.03</v>
      </c>
      <c r="H47" s="71"/>
      <c r="I47" s="71"/>
    </row>
    <row r="48" spans="2:9" x14ac:dyDescent="0.3">
      <c r="B48" s="160">
        <v>44550</v>
      </c>
      <c r="C48" s="161">
        <v>4628.8999999999996</v>
      </c>
      <c r="D48" s="163">
        <v>-1.47E-2</v>
      </c>
      <c r="F48" s="161">
        <v>17003.8</v>
      </c>
      <c r="G48" s="163">
        <v>1.1000000000000001E-3</v>
      </c>
      <c r="H48" s="71"/>
      <c r="I48" s="71"/>
    </row>
    <row r="49" spans="2:9" x14ac:dyDescent="0.3">
      <c r="B49" s="160">
        <v>44557</v>
      </c>
      <c r="C49" s="161">
        <v>4671.5</v>
      </c>
      <c r="D49" s="163">
        <v>9.1999999999999998E-3</v>
      </c>
      <c r="F49" s="161">
        <v>17354.099999999999</v>
      </c>
      <c r="G49" s="163">
        <v>2.06E-2</v>
      </c>
      <c r="H49" s="71"/>
      <c r="I49" s="71"/>
    </row>
    <row r="50" spans="2:9" x14ac:dyDescent="0.3">
      <c r="B50" s="160">
        <v>44564</v>
      </c>
      <c r="C50" s="161">
        <v>4731.3999999999996</v>
      </c>
      <c r="D50" s="163">
        <v>1.2800000000000001E-2</v>
      </c>
      <c r="F50" s="161">
        <v>17812.7</v>
      </c>
      <c r="G50" s="163">
        <v>2.64E-2</v>
      </c>
      <c r="H50" s="71"/>
      <c r="I50" s="71"/>
    </row>
    <row r="51" spans="2:9" x14ac:dyDescent="0.3">
      <c r="B51" s="160">
        <v>44571</v>
      </c>
      <c r="C51" s="161">
        <v>4322.7</v>
      </c>
      <c r="D51" s="163">
        <v>-8.6400000000000005E-2</v>
      </c>
      <c r="F51" s="161">
        <v>18255.8</v>
      </c>
      <c r="G51" s="163">
        <v>2.4899999999999999E-2</v>
      </c>
      <c r="H51" s="71"/>
      <c r="I51" s="71"/>
    </row>
    <row r="52" spans="2:9" x14ac:dyDescent="0.3">
      <c r="B52" s="160">
        <v>44578</v>
      </c>
      <c r="C52" s="161">
        <v>4299.8</v>
      </c>
      <c r="D52" s="163">
        <v>-5.3E-3</v>
      </c>
      <c r="F52" s="161">
        <v>17617.2</v>
      </c>
      <c r="G52" s="163">
        <v>-3.5000000000000003E-2</v>
      </c>
      <c r="H52" s="71"/>
      <c r="I52" s="71"/>
    </row>
    <row r="53" spans="2:9" x14ac:dyDescent="0.3">
      <c r="B53" s="160">
        <v>44585</v>
      </c>
      <c r="C53" s="161">
        <v>4076</v>
      </c>
      <c r="D53" s="163">
        <v>-5.1999999999999998E-2</v>
      </c>
      <c r="F53" s="161">
        <v>17101.900000000001</v>
      </c>
      <c r="G53" s="163">
        <v>-2.92E-2</v>
      </c>
      <c r="H53" s="71"/>
      <c r="I53" s="71"/>
    </row>
    <row r="54" spans="2:9" x14ac:dyDescent="0.3">
      <c r="B54" s="160">
        <v>44592</v>
      </c>
      <c r="C54" s="161">
        <v>4081.9</v>
      </c>
      <c r="D54" s="163">
        <v>1.4E-3</v>
      </c>
      <c r="F54" s="161">
        <v>17516.3</v>
      </c>
      <c r="G54" s="163">
        <v>2.4199999999999999E-2</v>
      </c>
      <c r="H54" s="71"/>
      <c r="I54" s="71"/>
    </row>
    <row r="55" spans="2:9" x14ac:dyDescent="0.3">
      <c r="B55" s="160">
        <v>44599</v>
      </c>
      <c r="C55" s="161">
        <v>4142.3</v>
      </c>
      <c r="D55" s="163">
        <v>1.4800000000000001E-2</v>
      </c>
      <c r="F55" s="161">
        <v>17374.8</v>
      </c>
      <c r="G55" s="163">
        <v>-8.0999999999999996E-3</v>
      </c>
      <c r="H55" s="71"/>
      <c r="I55" s="71"/>
    </row>
    <row r="56" spans="2:9" x14ac:dyDescent="0.3">
      <c r="B56" s="160">
        <v>44606</v>
      </c>
      <c r="C56" s="161">
        <v>4073.1</v>
      </c>
      <c r="D56" s="163">
        <v>-1.67E-2</v>
      </c>
      <c r="F56" s="161">
        <v>17276.3</v>
      </c>
      <c r="G56" s="163">
        <v>-5.7000000000000002E-3</v>
      </c>
      <c r="H56" s="71"/>
      <c r="I56" s="71"/>
    </row>
    <row r="57" spans="2:9" x14ac:dyDescent="0.3">
      <c r="B57" s="160">
        <v>44613</v>
      </c>
      <c r="C57" s="161">
        <v>4190.8</v>
      </c>
      <c r="D57" s="163">
        <v>2.8899999999999999E-2</v>
      </c>
      <c r="F57" s="161">
        <v>16658.400000000001</v>
      </c>
      <c r="G57" s="163">
        <v>-3.5799999999999998E-2</v>
      </c>
      <c r="H57" s="71"/>
      <c r="I57" s="71"/>
    </row>
    <row r="58" spans="2:9" x14ac:dyDescent="0.3">
      <c r="B58" s="160">
        <v>44620</v>
      </c>
      <c r="C58" s="161">
        <v>4110.2</v>
      </c>
      <c r="D58" s="163">
        <v>-1.9199999999999998E-2</v>
      </c>
      <c r="F58" s="161">
        <v>16245.3</v>
      </c>
      <c r="G58" s="163">
        <v>-2.4799999999999999E-2</v>
      </c>
      <c r="H58" s="71"/>
      <c r="I58" s="71"/>
    </row>
    <row r="59" spans="2:9" x14ac:dyDescent="0.3">
      <c r="B59" s="160">
        <v>44627</v>
      </c>
      <c r="C59" s="161">
        <v>4199</v>
      </c>
      <c r="D59" s="163">
        <v>2.1600000000000001E-2</v>
      </c>
      <c r="F59" s="161">
        <v>16630.400000000001</v>
      </c>
      <c r="G59" s="163">
        <v>2.3699999999999999E-2</v>
      </c>
      <c r="H59" s="71"/>
      <c r="I59" s="71"/>
    </row>
    <row r="60" spans="2:9" x14ac:dyDescent="0.3">
      <c r="B60" s="160">
        <v>44634</v>
      </c>
      <c r="C60" s="161">
        <v>4192.8</v>
      </c>
      <c r="D60" s="163">
        <v>-1.5E-3</v>
      </c>
      <c r="F60" s="161">
        <v>17287.099999999999</v>
      </c>
      <c r="G60" s="163">
        <v>3.95E-2</v>
      </c>
      <c r="H60" s="71"/>
      <c r="I60" s="71"/>
    </row>
    <row r="61" spans="2:9" x14ac:dyDescent="0.3">
      <c r="B61" s="160">
        <v>44641</v>
      </c>
      <c r="C61" s="161">
        <v>4001.3</v>
      </c>
      <c r="D61" s="163">
        <v>-4.5699999999999998E-2</v>
      </c>
      <c r="F61" s="161">
        <v>17153</v>
      </c>
      <c r="G61" s="163">
        <v>-7.7999999999999996E-3</v>
      </c>
      <c r="H61" s="71"/>
      <c r="I61" s="71"/>
    </row>
    <row r="62" spans="2:9" x14ac:dyDescent="0.3">
      <c r="B62" s="160">
        <v>44648</v>
      </c>
      <c r="C62" s="161">
        <v>4082.2</v>
      </c>
      <c r="D62" s="163">
        <v>2.0199999999999999E-2</v>
      </c>
      <c r="F62" s="161">
        <v>17670.400000000001</v>
      </c>
      <c r="G62" s="163">
        <v>3.0200000000000001E-2</v>
      </c>
      <c r="H62" s="71"/>
      <c r="I62" s="71"/>
    </row>
    <row r="63" spans="2:9" x14ac:dyDescent="0.3">
      <c r="B63" s="160">
        <v>44655</v>
      </c>
      <c r="C63" s="161">
        <v>4146.3</v>
      </c>
      <c r="D63" s="163">
        <v>1.5699999999999999E-2</v>
      </c>
      <c r="F63" s="161">
        <v>17784.3</v>
      </c>
      <c r="G63" s="163">
        <v>6.4000000000000003E-3</v>
      </c>
      <c r="H63" s="71"/>
      <c r="I63" s="71"/>
    </row>
    <row r="64" spans="2:9" x14ac:dyDescent="0.3">
      <c r="B64" s="160">
        <v>44662</v>
      </c>
      <c r="C64" s="161">
        <v>4090.9</v>
      </c>
      <c r="D64" s="163">
        <v>-1.3299999999999999E-2</v>
      </c>
      <c r="F64" s="161">
        <v>17475.7</v>
      </c>
      <c r="G64" s="163">
        <v>-1.7399999999999999E-2</v>
      </c>
      <c r="H64" s="71"/>
      <c r="I64" s="71"/>
    </row>
    <row r="65" spans="2:9" x14ac:dyDescent="0.3">
      <c r="B65" s="160">
        <v>44669</v>
      </c>
      <c r="C65" s="161">
        <v>4028.9</v>
      </c>
      <c r="D65" s="163">
        <v>-1.52E-2</v>
      </c>
      <c r="F65" s="161">
        <v>17171.900000000001</v>
      </c>
      <c r="G65" s="163">
        <v>-1.7399999999999999E-2</v>
      </c>
      <c r="H65" s="71"/>
      <c r="I65" s="71"/>
    </row>
    <row r="66" spans="2:9" x14ac:dyDescent="0.3">
      <c r="B66" s="160">
        <v>44676</v>
      </c>
      <c r="C66" s="161">
        <v>3944.3</v>
      </c>
      <c r="D66" s="163">
        <v>-2.1000000000000001E-2</v>
      </c>
      <c r="F66" s="161">
        <v>17102.599999999999</v>
      </c>
      <c r="G66" s="163">
        <v>-4.0000000000000001E-3</v>
      </c>
      <c r="H66" s="71"/>
      <c r="I66" s="71"/>
    </row>
    <row r="67" spans="2:9" x14ac:dyDescent="0.3">
      <c r="B67" s="160">
        <v>44683</v>
      </c>
      <c r="C67" s="161">
        <v>3666.2</v>
      </c>
      <c r="D67" s="163">
        <v>-7.0499999999999993E-2</v>
      </c>
      <c r="F67" s="161">
        <v>16411.3</v>
      </c>
      <c r="G67" s="163">
        <v>-4.0399999999999998E-2</v>
      </c>
      <c r="H67" s="71"/>
      <c r="I67" s="71"/>
    </row>
    <row r="68" spans="2:9" x14ac:dyDescent="0.3">
      <c r="B68" s="160">
        <v>44690</v>
      </c>
      <c r="C68" s="161">
        <v>3230.6</v>
      </c>
      <c r="D68" s="163">
        <v>-0.1188</v>
      </c>
      <c r="F68" s="161">
        <v>15782.2</v>
      </c>
      <c r="G68" s="163">
        <v>-3.8300000000000001E-2</v>
      </c>
      <c r="H68" s="71"/>
      <c r="I68" s="71"/>
    </row>
    <row r="69" spans="2:9" x14ac:dyDescent="0.3">
      <c r="B69" s="160">
        <v>44697</v>
      </c>
      <c r="C69" s="161">
        <v>3630.4</v>
      </c>
      <c r="D69" s="163">
        <v>0.12379999999999999</v>
      </c>
      <c r="F69" s="161">
        <v>16266.2</v>
      </c>
      <c r="G69" s="163">
        <v>3.0700000000000002E-2</v>
      </c>
      <c r="H69" s="71"/>
      <c r="I69" s="71"/>
    </row>
    <row r="70" spans="2:9" x14ac:dyDescent="0.3">
      <c r="B70" s="160">
        <v>44704</v>
      </c>
      <c r="C70" s="161">
        <v>3613.9</v>
      </c>
      <c r="D70" s="163">
        <v>-4.5999999999999999E-3</v>
      </c>
      <c r="F70" s="161">
        <v>16352.5</v>
      </c>
      <c r="G70" s="163">
        <v>5.3E-3</v>
      </c>
      <c r="H70" s="71"/>
      <c r="I70" s="71"/>
    </row>
    <row r="71" spans="2:9" x14ac:dyDescent="0.3">
      <c r="B71" s="160">
        <v>44711</v>
      </c>
      <c r="C71" s="161">
        <v>3820.1</v>
      </c>
      <c r="D71" s="163">
        <v>5.7099999999999998E-2</v>
      </c>
      <c r="F71" s="161">
        <v>16584.3</v>
      </c>
      <c r="G71" s="163">
        <v>1.4200000000000001E-2</v>
      </c>
      <c r="H71" s="71"/>
      <c r="I71" s="71"/>
    </row>
    <row r="72" spans="2:9" x14ac:dyDescent="0.3">
      <c r="B72" s="160">
        <v>44718</v>
      </c>
      <c r="C72" s="161">
        <v>3755.6</v>
      </c>
      <c r="D72" s="163">
        <v>-1.6899999999999998E-2</v>
      </c>
      <c r="F72" s="161">
        <v>16201.8</v>
      </c>
      <c r="G72" s="163">
        <v>-2.3099999999999999E-2</v>
      </c>
      <c r="H72" s="71"/>
      <c r="I72" s="71"/>
    </row>
    <row r="73" spans="2:9" x14ac:dyDescent="0.3">
      <c r="B73" s="160">
        <v>44725</v>
      </c>
      <c r="C73" s="161">
        <v>3460.6</v>
      </c>
      <c r="D73" s="163">
        <v>-7.8600000000000003E-2</v>
      </c>
      <c r="F73" s="161">
        <v>15293.5</v>
      </c>
      <c r="G73" s="163">
        <v>-5.6099999999999997E-2</v>
      </c>
      <c r="H73" s="71"/>
      <c r="I73" s="71"/>
    </row>
    <row r="74" spans="2:9" x14ac:dyDescent="0.3">
      <c r="B74" s="160">
        <v>44732</v>
      </c>
      <c r="C74" s="161">
        <v>3412</v>
      </c>
      <c r="D74" s="163">
        <v>-1.4E-2</v>
      </c>
      <c r="F74" s="161">
        <v>15699.3</v>
      </c>
      <c r="G74" s="163">
        <v>2.6499999999999999E-2</v>
      </c>
      <c r="H74" s="71"/>
      <c r="I74" s="71"/>
    </row>
    <row r="75" spans="2:9" x14ac:dyDescent="0.3">
      <c r="B75" s="160">
        <v>44739</v>
      </c>
      <c r="C75" s="161">
        <v>3388.8</v>
      </c>
      <c r="D75" s="163">
        <v>-6.7999999999999996E-3</v>
      </c>
      <c r="F75" s="161">
        <v>15752</v>
      </c>
      <c r="G75" s="163">
        <v>3.3999999999999998E-3</v>
      </c>
      <c r="H75" s="71"/>
      <c r="I75" s="71"/>
    </row>
    <row r="76" spans="2:9" x14ac:dyDescent="0.3">
      <c r="B76" s="160">
        <v>44746</v>
      </c>
      <c r="C76" s="161">
        <v>3941.7</v>
      </c>
      <c r="D76" s="163">
        <v>0.16320000000000001</v>
      </c>
      <c r="F76" s="161">
        <v>16220.6</v>
      </c>
      <c r="G76" s="163">
        <v>2.9700000000000001E-2</v>
      </c>
      <c r="H76" s="71"/>
      <c r="I76" s="71"/>
    </row>
    <row r="77" spans="2:9" x14ac:dyDescent="0.3">
      <c r="B77" s="160">
        <v>44753</v>
      </c>
      <c r="C77" s="161">
        <v>3926.8</v>
      </c>
      <c r="D77" s="163">
        <v>-3.8E-3</v>
      </c>
      <c r="F77" s="161">
        <v>16049.2</v>
      </c>
      <c r="G77" s="163">
        <v>-1.06E-2</v>
      </c>
      <c r="H77" s="71"/>
      <c r="I77" s="71"/>
    </row>
    <row r="78" spans="2:9" x14ac:dyDescent="0.3">
      <c r="B78" s="160">
        <v>44760</v>
      </c>
      <c r="C78" s="161">
        <v>3963.4</v>
      </c>
      <c r="D78" s="163">
        <v>9.2999999999999992E-3</v>
      </c>
      <c r="F78" s="161">
        <v>16719.400000000001</v>
      </c>
      <c r="G78" s="163">
        <v>4.1799999999999997E-2</v>
      </c>
      <c r="H78" s="71"/>
      <c r="I78" s="71"/>
    </row>
    <row r="79" spans="2:9" x14ac:dyDescent="0.3">
      <c r="B79" s="160">
        <v>44767</v>
      </c>
      <c r="C79" s="161">
        <v>4243.8999999999996</v>
      </c>
      <c r="D79" s="163">
        <v>7.0800000000000002E-2</v>
      </c>
      <c r="F79" s="161">
        <v>17158.3</v>
      </c>
      <c r="G79" s="163">
        <v>2.6200000000000001E-2</v>
      </c>
      <c r="H79" s="71"/>
      <c r="I79" s="71"/>
    </row>
    <row r="80" spans="2:9" x14ac:dyDescent="0.3">
      <c r="B80" s="160">
        <v>44774</v>
      </c>
      <c r="C80" s="161">
        <v>4232.3</v>
      </c>
      <c r="D80" s="163">
        <v>-2.7000000000000001E-3</v>
      </c>
      <c r="F80" s="161">
        <v>17397.5</v>
      </c>
      <c r="G80" s="163">
        <v>1.3899999999999999E-2</v>
      </c>
      <c r="H80" s="71"/>
      <c r="I80" s="71"/>
    </row>
    <row r="81" spans="2:9" x14ac:dyDescent="0.3">
      <c r="B81" s="160">
        <v>44781</v>
      </c>
      <c r="C81" s="161">
        <v>4336.7</v>
      </c>
      <c r="D81" s="163">
        <v>2.47E-2</v>
      </c>
      <c r="F81" s="161">
        <v>17698.2</v>
      </c>
      <c r="G81" s="163">
        <v>1.7299999999999999E-2</v>
      </c>
      <c r="H81" s="71"/>
      <c r="I81" s="71"/>
    </row>
    <row r="82" spans="2:9" x14ac:dyDescent="0.3">
      <c r="B82" s="160">
        <v>44788</v>
      </c>
      <c r="C82" s="161">
        <v>4382</v>
      </c>
      <c r="D82" s="163">
        <v>1.04E-2</v>
      </c>
      <c r="F82" s="161">
        <v>17758.400000000001</v>
      </c>
      <c r="G82" s="163">
        <v>3.3999999999999998E-3</v>
      </c>
      <c r="H82" s="71"/>
      <c r="I82" s="71"/>
    </row>
    <row r="83" spans="2:9" x14ac:dyDescent="0.3">
      <c r="B83" s="160">
        <v>44795</v>
      </c>
      <c r="C83" s="161">
        <v>4409.6000000000004</v>
      </c>
      <c r="D83" s="163">
        <v>6.3E-3</v>
      </c>
      <c r="F83" s="161">
        <v>17558.900000000001</v>
      </c>
      <c r="G83" s="163">
        <v>-1.12E-2</v>
      </c>
      <c r="H83" s="71"/>
      <c r="I83" s="71"/>
    </row>
    <row r="84" spans="2:9" x14ac:dyDescent="0.3">
      <c r="B84" s="160">
        <v>44802</v>
      </c>
      <c r="C84" s="161">
        <v>4576.8</v>
      </c>
      <c r="D84" s="163">
        <v>3.7900000000000003E-2</v>
      </c>
      <c r="F84" s="161">
        <v>17539.400000000001</v>
      </c>
      <c r="G84" s="163">
        <v>-1.1000000000000001E-3</v>
      </c>
      <c r="H84" s="71"/>
      <c r="I84" s="71"/>
    </row>
    <row r="85" spans="2:9" x14ac:dyDescent="0.3">
      <c r="B85" s="160">
        <v>44809</v>
      </c>
      <c r="C85" s="161">
        <v>4386.1000000000004</v>
      </c>
      <c r="D85" s="163">
        <v>-4.1700000000000001E-2</v>
      </c>
      <c r="F85" s="161">
        <v>17833.3</v>
      </c>
      <c r="G85" s="163">
        <v>1.6799999999999999E-2</v>
      </c>
      <c r="H85" s="71"/>
      <c r="I85" s="71"/>
    </row>
    <row r="86" spans="2:9" x14ac:dyDescent="0.3">
      <c r="B86" s="160">
        <v>44816</v>
      </c>
      <c r="C86" s="161">
        <v>4327.5</v>
      </c>
      <c r="D86" s="163">
        <v>-1.3299999999999999E-2</v>
      </c>
      <c r="F86" s="161">
        <v>17530.8</v>
      </c>
      <c r="G86" s="163">
        <v>-1.7000000000000001E-2</v>
      </c>
      <c r="H86" s="71"/>
      <c r="I86" s="71"/>
    </row>
    <row r="87" spans="2:9" x14ac:dyDescent="0.3">
      <c r="B87" s="160">
        <v>44823</v>
      </c>
      <c r="C87" s="161">
        <v>4367</v>
      </c>
      <c r="D87" s="163">
        <v>9.1000000000000004E-3</v>
      </c>
      <c r="F87" s="161">
        <v>17327.3</v>
      </c>
      <c r="G87" s="163">
        <v>-1.1599999999999999E-2</v>
      </c>
      <c r="H87" s="71"/>
      <c r="I87" s="71"/>
    </row>
    <row r="88" spans="2:9" x14ac:dyDescent="0.3">
      <c r="B88" s="160">
        <v>44830</v>
      </c>
      <c r="C88" s="161">
        <v>4386.5</v>
      </c>
      <c r="D88" s="163">
        <v>4.4999999999999997E-3</v>
      </c>
      <c r="F88" s="161">
        <v>17094.3</v>
      </c>
      <c r="G88" s="163">
        <v>-1.34E-2</v>
      </c>
      <c r="H88" s="71"/>
      <c r="I88" s="71"/>
    </row>
    <row r="89" spans="2:9" x14ac:dyDescent="0.3">
      <c r="B89" s="160">
        <v>44837</v>
      </c>
      <c r="C89" s="161">
        <v>4471.5</v>
      </c>
      <c r="D89" s="163">
        <v>1.9400000000000001E-2</v>
      </c>
      <c r="F89" s="161">
        <v>17314.7</v>
      </c>
      <c r="G89" s="163">
        <v>1.29E-2</v>
      </c>
      <c r="H89" s="71"/>
      <c r="I89" s="71"/>
    </row>
    <row r="90" spans="2:9" x14ac:dyDescent="0.3">
      <c r="B90" s="160">
        <v>44844</v>
      </c>
      <c r="C90" s="161">
        <v>4306.1000000000004</v>
      </c>
      <c r="D90" s="163">
        <v>-3.6999999999999998E-2</v>
      </c>
      <c r="F90" s="161">
        <v>17185.7</v>
      </c>
      <c r="G90" s="163">
        <v>-7.4000000000000003E-3</v>
      </c>
      <c r="H90" s="71"/>
      <c r="I90" s="71"/>
    </row>
    <row r="91" spans="2:9" x14ac:dyDescent="0.3">
      <c r="B91" s="160">
        <v>44851</v>
      </c>
      <c r="C91" s="161">
        <v>4215.5</v>
      </c>
      <c r="D91" s="163">
        <v>-2.1000000000000001E-2</v>
      </c>
      <c r="F91" s="161">
        <v>17576.3</v>
      </c>
      <c r="G91" s="163">
        <v>2.2700000000000001E-2</v>
      </c>
      <c r="H91" s="71"/>
      <c r="I91" s="71"/>
    </row>
    <row r="92" spans="2:9" x14ac:dyDescent="0.3">
      <c r="B92" s="160">
        <v>44858</v>
      </c>
      <c r="C92" s="161">
        <v>4307.3999999999996</v>
      </c>
      <c r="D92" s="163">
        <v>2.18E-2</v>
      </c>
      <c r="F92" s="161">
        <v>17786.8</v>
      </c>
      <c r="G92" s="163">
        <v>1.2E-2</v>
      </c>
      <c r="H92" s="71"/>
      <c r="I92" s="71"/>
    </row>
    <row r="93" spans="2:9" x14ac:dyDescent="0.3">
      <c r="B93" s="160">
        <v>44865</v>
      </c>
      <c r="C93" s="161">
        <v>4167.3999999999996</v>
      </c>
      <c r="D93" s="163">
        <v>-3.2500000000000001E-2</v>
      </c>
      <c r="F93" s="161">
        <v>18117.2</v>
      </c>
      <c r="G93" s="163">
        <v>1.8599999999999998E-2</v>
      </c>
      <c r="H93" s="71"/>
      <c r="I93" s="71"/>
    </row>
    <row r="94" spans="2:9" x14ac:dyDescent="0.3">
      <c r="B94" s="160">
        <v>44872</v>
      </c>
      <c r="C94" s="161">
        <v>4128.3999999999996</v>
      </c>
      <c r="D94" s="163">
        <v>-9.4000000000000004E-3</v>
      </c>
      <c r="F94" s="161">
        <v>18349.7</v>
      </c>
      <c r="G94" s="163">
        <v>1.2800000000000001E-2</v>
      </c>
      <c r="H94" s="71"/>
      <c r="I94" s="71"/>
    </row>
    <row r="95" spans="2:9" x14ac:dyDescent="0.3">
      <c r="B95" s="160">
        <v>44879</v>
      </c>
      <c r="C95" s="161">
        <v>3910.6</v>
      </c>
      <c r="D95" s="163">
        <v>-5.2699999999999997E-2</v>
      </c>
      <c r="F95" s="161">
        <v>18307.7</v>
      </c>
      <c r="G95" s="163">
        <v>-2.3E-3</v>
      </c>
      <c r="H95" s="71"/>
      <c r="I95" s="71"/>
    </row>
    <row r="96" spans="2:9" x14ac:dyDescent="0.3">
      <c r="B96" s="160">
        <v>44886</v>
      </c>
      <c r="C96" s="161">
        <v>3904.4</v>
      </c>
      <c r="D96" s="163">
        <v>-1.6000000000000001E-3</v>
      </c>
      <c r="F96" s="161">
        <v>18512.8</v>
      </c>
      <c r="G96" s="163">
        <v>1.12E-2</v>
      </c>
      <c r="H96" s="71"/>
      <c r="I96" s="71"/>
    </row>
    <row r="97" spans="2:9" x14ac:dyDescent="0.3">
      <c r="B97" s="160">
        <v>44893</v>
      </c>
      <c r="C97" s="161">
        <v>4005.8</v>
      </c>
      <c r="D97" s="163">
        <v>2.5899999999999999E-2</v>
      </c>
      <c r="F97" s="161">
        <v>18696.099999999999</v>
      </c>
      <c r="G97" s="163">
        <v>9.9000000000000008E-3</v>
      </c>
      <c r="H97" s="71"/>
      <c r="I97" s="71"/>
    </row>
    <row r="98" spans="2:9" x14ac:dyDescent="0.3">
      <c r="B98" s="160">
        <v>44900</v>
      </c>
      <c r="C98" s="161">
        <v>4002.4</v>
      </c>
      <c r="D98" s="163">
        <v>-8.0000000000000004E-4</v>
      </c>
      <c r="F98" s="161">
        <v>18496.599999999999</v>
      </c>
      <c r="G98" s="163">
        <v>-1.0699999999999999E-2</v>
      </c>
      <c r="H98" s="71"/>
      <c r="I98" s="71"/>
    </row>
    <row r="99" spans="2:9" x14ac:dyDescent="0.3">
      <c r="B99" s="160">
        <v>44907</v>
      </c>
      <c r="C99" s="161">
        <v>3990</v>
      </c>
      <c r="D99" s="163">
        <v>-3.0999999999999999E-3</v>
      </c>
      <c r="F99" s="161">
        <v>18269</v>
      </c>
      <c r="G99" s="163">
        <v>-1.23E-2</v>
      </c>
      <c r="H99" s="71"/>
      <c r="I99" s="71"/>
    </row>
    <row r="100" spans="2:9" x14ac:dyDescent="0.3">
      <c r="B100" s="160">
        <v>44914</v>
      </c>
      <c r="C100" s="161">
        <v>3875.6</v>
      </c>
      <c r="D100" s="163">
        <v>-2.87E-2</v>
      </c>
      <c r="F100" s="161">
        <v>17806.8</v>
      </c>
      <c r="G100" s="163">
        <v>-2.53E-2</v>
      </c>
      <c r="H100" s="71"/>
      <c r="I100" s="71"/>
    </row>
    <row r="101" spans="2:9" x14ac:dyDescent="0.3">
      <c r="B101" s="160">
        <v>44921</v>
      </c>
      <c r="C101" s="161">
        <v>4068.8</v>
      </c>
      <c r="D101" s="163">
        <v>4.9799999999999997E-2</v>
      </c>
      <c r="F101" s="161">
        <v>18105.3</v>
      </c>
      <c r="G101" s="163">
        <v>1.6799999999999999E-2</v>
      </c>
      <c r="H101" s="71"/>
      <c r="I101" s="71"/>
    </row>
    <row r="102" spans="2:9" x14ac:dyDescent="0.3">
      <c r="B102" s="160">
        <v>44928</v>
      </c>
      <c r="C102" s="161">
        <v>3842.5</v>
      </c>
      <c r="D102" s="163">
        <v>-5.5599999999999997E-2</v>
      </c>
      <c r="F102" s="161">
        <v>17859.400000000001</v>
      </c>
      <c r="G102" s="163">
        <v>-1.3599999999999999E-2</v>
      </c>
      <c r="H102" s="71"/>
      <c r="I102" s="71"/>
    </row>
    <row r="103" spans="2:9" x14ac:dyDescent="0.3">
      <c r="B103" s="160">
        <v>44935</v>
      </c>
      <c r="C103" s="161">
        <v>3863.7</v>
      </c>
      <c r="D103" s="163">
        <v>5.4999999999999997E-3</v>
      </c>
      <c r="F103" s="161">
        <v>17956.599999999999</v>
      </c>
      <c r="G103" s="163">
        <v>5.4000000000000003E-3</v>
      </c>
      <c r="H103" s="71"/>
      <c r="I103" s="71"/>
    </row>
    <row r="104" spans="2:9" x14ac:dyDescent="0.3">
      <c r="B104" s="160">
        <v>44942</v>
      </c>
      <c r="C104" s="161">
        <v>3513.8</v>
      </c>
      <c r="D104" s="163">
        <v>-9.06E-2</v>
      </c>
      <c r="F104" s="161">
        <v>18027.7</v>
      </c>
      <c r="G104" s="163">
        <v>4.0000000000000001E-3</v>
      </c>
      <c r="H104" s="71"/>
      <c r="I104" s="71"/>
    </row>
    <row r="105" spans="2:9" x14ac:dyDescent="0.3">
      <c r="B105" s="160">
        <v>44949</v>
      </c>
      <c r="C105" s="161">
        <v>3562.4</v>
      </c>
      <c r="D105" s="163">
        <v>1.38E-2</v>
      </c>
      <c r="F105" s="161">
        <v>17604.3</v>
      </c>
      <c r="G105" s="163">
        <v>-2.35E-2</v>
      </c>
      <c r="H105" s="71"/>
      <c r="I105" s="71"/>
    </row>
    <row r="106" spans="2:9" x14ac:dyDescent="0.3">
      <c r="B106" s="160">
        <v>44956</v>
      </c>
      <c r="C106" s="161">
        <v>3470.4</v>
      </c>
      <c r="D106" s="163">
        <v>-2.58E-2</v>
      </c>
      <c r="F106" s="161">
        <v>17854.099999999999</v>
      </c>
      <c r="G106" s="163">
        <v>1.4200000000000001E-2</v>
      </c>
      <c r="H106" s="71"/>
      <c r="I106" s="71"/>
    </row>
    <row r="107" spans="2:9" x14ac:dyDescent="0.3">
      <c r="B107" s="160">
        <v>44963</v>
      </c>
      <c r="C107" s="161">
        <v>3498.9</v>
      </c>
      <c r="D107" s="163">
        <v>8.2000000000000007E-3</v>
      </c>
      <c r="F107" s="161">
        <v>17856.5</v>
      </c>
      <c r="G107" s="163">
        <v>1E-4</v>
      </c>
      <c r="H107" s="71"/>
      <c r="I107" s="71"/>
    </row>
    <row r="108" spans="2:9" x14ac:dyDescent="0.3">
      <c r="B108" s="160">
        <v>44970</v>
      </c>
      <c r="C108" s="161">
        <v>3545</v>
      </c>
      <c r="D108" s="163">
        <v>1.32E-2</v>
      </c>
      <c r="F108" s="161">
        <v>17944.2</v>
      </c>
      <c r="G108" s="163">
        <v>4.8999999999999998E-3</v>
      </c>
      <c r="H108" s="71"/>
      <c r="I108" s="71"/>
    </row>
    <row r="109" spans="2:9" x14ac:dyDescent="0.3">
      <c r="B109" s="160">
        <v>44977</v>
      </c>
      <c r="C109" s="161">
        <v>3552.9</v>
      </c>
      <c r="D109" s="163">
        <v>2.2000000000000001E-3</v>
      </c>
      <c r="F109" s="161">
        <v>17844.599999999999</v>
      </c>
      <c r="G109" s="163">
        <v>-5.5999999999999999E-3</v>
      </c>
      <c r="H109" s="71"/>
      <c r="I109" s="71"/>
    </row>
  </sheetData>
  <mergeCells count="3">
    <mergeCell ref="F2:G2"/>
    <mergeCell ref="B2:D2"/>
    <mergeCell ref="I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E617-80BB-4083-9C78-75C45DE158B7}">
  <dimension ref="B3:G17"/>
  <sheetViews>
    <sheetView workbookViewId="0">
      <selection activeCell="B3" sqref="B3:G3"/>
    </sheetView>
  </sheetViews>
  <sheetFormatPr defaultRowHeight="14.4" x14ac:dyDescent="0.3"/>
  <cols>
    <col min="3" max="3" width="15.33203125" bestFit="1" customWidth="1"/>
    <col min="4" max="4" width="7.6640625" bestFit="1" customWidth="1"/>
    <col min="5" max="5" width="13.21875" bestFit="1" customWidth="1"/>
    <col min="6" max="6" width="10.109375" bestFit="1" customWidth="1"/>
    <col min="7" max="7" width="8.5546875" bestFit="1" customWidth="1"/>
  </cols>
  <sheetData>
    <row r="3" spans="2:7" x14ac:dyDescent="0.3">
      <c r="B3" s="154" t="s">
        <v>268</v>
      </c>
      <c r="C3" s="154" t="s">
        <v>269</v>
      </c>
      <c r="D3" s="154" t="s">
        <v>270</v>
      </c>
      <c r="E3" s="154" t="s">
        <v>284</v>
      </c>
      <c r="F3" s="154" t="s">
        <v>271</v>
      </c>
      <c r="G3" s="154" t="s">
        <v>272</v>
      </c>
    </row>
    <row r="4" spans="2:7" x14ac:dyDescent="0.3">
      <c r="B4">
        <v>2</v>
      </c>
      <c r="C4" t="s">
        <v>266</v>
      </c>
      <c r="D4">
        <v>4021</v>
      </c>
      <c r="E4">
        <v>261737.44</v>
      </c>
      <c r="F4">
        <v>819.62</v>
      </c>
      <c r="G4">
        <v>0.04</v>
      </c>
    </row>
    <row r="5" spans="2:7" x14ac:dyDescent="0.3">
      <c r="B5">
        <v>3</v>
      </c>
      <c r="C5" t="s">
        <v>273</v>
      </c>
      <c r="D5">
        <v>5154</v>
      </c>
      <c r="E5">
        <v>183059.4</v>
      </c>
      <c r="F5">
        <v>2237.19</v>
      </c>
      <c r="G5">
        <v>0.41</v>
      </c>
    </row>
    <row r="6" spans="2:7" x14ac:dyDescent="0.3">
      <c r="B6">
        <v>5</v>
      </c>
      <c r="C6" t="s">
        <v>274</v>
      </c>
      <c r="D6">
        <v>1457.2</v>
      </c>
      <c r="E6">
        <v>94431</v>
      </c>
      <c r="F6">
        <v>267.33999999999997</v>
      </c>
      <c r="G6">
        <v>0.01</v>
      </c>
    </row>
    <row r="7" spans="2:7" x14ac:dyDescent="0.3">
      <c r="B7">
        <v>6</v>
      </c>
      <c r="C7" t="s">
        <v>267</v>
      </c>
      <c r="D7">
        <v>140.01</v>
      </c>
      <c r="E7">
        <v>65277.75</v>
      </c>
      <c r="F7">
        <v>1729.38</v>
      </c>
      <c r="G7">
        <v>0.27</v>
      </c>
    </row>
    <row r="8" spans="2:7" x14ac:dyDescent="0.3">
      <c r="B8">
        <v>7</v>
      </c>
      <c r="C8" t="s">
        <v>275</v>
      </c>
      <c r="D8">
        <v>215.62</v>
      </c>
      <c r="E8">
        <v>61731.33</v>
      </c>
      <c r="F8">
        <v>1320.59</v>
      </c>
      <c r="G8">
        <v>1.01</v>
      </c>
    </row>
    <row r="9" spans="2:7" x14ac:dyDescent="0.3">
      <c r="B9">
        <v>8</v>
      </c>
      <c r="C9" t="s">
        <v>276</v>
      </c>
      <c r="D9">
        <v>794.3</v>
      </c>
      <c r="E9">
        <v>19296.240000000002</v>
      </c>
      <c r="F9">
        <v>482.9</v>
      </c>
      <c r="G9">
        <v>0.27</v>
      </c>
    </row>
    <row r="10" spans="2:7" x14ac:dyDescent="0.3">
      <c r="B10">
        <v>9</v>
      </c>
      <c r="C10" t="s">
        <v>277</v>
      </c>
      <c r="D10">
        <v>358.25</v>
      </c>
      <c r="E10">
        <v>18650.669999999998</v>
      </c>
      <c r="F10">
        <v>1569.93</v>
      </c>
      <c r="G10">
        <v>0.33</v>
      </c>
    </row>
    <row r="11" spans="2:7" x14ac:dyDescent="0.3">
      <c r="B11">
        <v>10</v>
      </c>
      <c r="C11" t="s">
        <v>278</v>
      </c>
      <c r="D11">
        <v>149.77000000000001</v>
      </c>
      <c r="E11">
        <v>18270.330000000002</v>
      </c>
      <c r="F11">
        <v>2932.45</v>
      </c>
      <c r="G11">
        <v>2.2999999999999998</v>
      </c>
    </row>
    <row r="12" spans="2:7" x14ac:dyDescent="0.3">
      <c r="B12">
        <v>11</v>
      </c>
      <c r="C12" t="s">
        <v>279</v>
      </c>
      <c r="D12">
        <v>2621</v>
      </c>
      <c r="E12">
        <v>15794.78</v>
      </c>
      <c r="F12">
        <v>33.04</v>
      </c>
      <c r="G12">
        <v>0.02</v>
      </c>
    </row>
    <row r="13" spans="2:7" x14ac:dyDescent="0.3">
      <c r="B13">
        <v>12</v>
      </c>
      <c r="C13" t="s">
        <v>280</v>
      </c>
      <c r="D13">
        <v>887.2</v>
      </c>
      <c r="E13">
        <v>10615.24</v>
      </c>
      <c r="F13">
        <v>1119.8</v>
      </c>
      <c r="G13">
        <v>0.64</v>
      </c>
    </row>
    <row r="14" spans="2:7" x14ac:dyDescent="0.3">
      <c r="B14">
        <v>13</v>
      </c>
      <c r="C14" t="s">
        <v>281</v>
      </c>
      <c r="D14">
        <v>1965.6</v>
      </c>
      <c r="E14">
        <v>9322.1299999999992</v>
      </c>
      <c r="F14">
        <v>131.37</v>
      </c>
      <c r="G14">
        <v>0.06</v>
      </c>
    </row>
    <row r="15" spans="2:7" x14ac:dyDescent="0.3">
      <c r="B15">
        <v>14</v>
      </c>
      <c r="C15" t="s">
        <v>282</v>
      </c>
      <c r="D15">
        <v>75.67</v>
      </c>
      <c r="E15">
        <v>9234.98</v>
      </c>
      <c r="F15">
        <v>5016.78</v>
      </c>
      <c r="G15">
        <v>0.74</v>
      </c>
    </row>
    <row r="16" spans="2:7" x14ac:dyDescent="0.3">
      <c r="B16">
        <v>15</v>
      </c>
      <c r="C16" t="s">
        <v>283</v>
      </c>
      <c r="D16">
        <v>58.16</v>
      </c>
      <c r="E16">
        <v>8033.88</v>
      </c>
      <c r="F16">
        <v>923.46</v>
      </c>
      <c r="G16">
        <v>1</v>
      </c>
    </row>
    <row r="17" spans="2:7" x14ac:dyDescent="0.3">
      <c r="B17">
        <v>16</v>
      </c>
      <c r="C17" t="s">
        <v>286</v>
      </c>
      <c r="D17">
        <v>1205.7</v>
      </c>
      <c r="E17">
        <v>32844.94</v>
      </c>
      <c r="F17">
        <v>1227.08</v>
      </c>
      <c r="G17">
        <v>0.72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3A0A-A957-46C5-95D4-478D31C453B5}">
  <sheetPr>
    <tabColor rgb="FF0000FF"/>
  </sheetPr>
  <dimension ref="A1"/>
  <sheetViews>
    <sheetView workbookViewId="0">
      <selection activeCell="K13" sqref="K13"/>
    </sheetView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D696-1F9D-4AE7-BE84-31E71E81B1F7}">
  <dimension ref="B2:O40"/>
  <sheetViews>
    <sheetView showGridLines="0" workbookViewId="0">
      <pane ySplit="3" topLeftCell="A42" activePane="bottomLeft" state="frozen"/>
      <selection activeCell="B1" sqref="B1"/>
      <selection pane="bottomLeft" activeCell="B2" sqref="B2:O3"/>
    </sheetView>
  </sheetViews>
  <sheetFormatPr defaultRowHeight="14.4" x14ac:dyDescent="0.3"/>
  <cols>
    <col min="1" max="1" width="1.88671875" customWidth="1"/>
    <col min="2" max="2" width="36.5546875" customWidth="1"/>
    <col min="3" max="3" width="11.77734375" bestFit="1" customWidth="1"/>
    <col min="4" max="6" width="11.6640625" bestFit="1" customWidth="1"/>
    <col min="7" max="7" width="12" bestFit="1" customWidth="1"/>
    <col min="8" max="9" width="12.6640625" bestFit="1" customWidth="1"/>
    <col min="10" max="11" width="12" bestFit="1" customWidth="1"/>
    <col min="12" max="12" width="11" bestFit="1" customWidth="1"/>
    <col min="14" max="14" width="11" bestFit="1" customWidth="1"/>
  </cols>
  <sheetData>
    <row r="2" spans="2:15" x14ac:dyDescent="0.3">
      <c r="B2" s="173" t="str">
        <f>"Ratio Analysis - "&amp;'Data Sheet'!B1</f>
        <v>Ratio Analysis - TATA MOTORS LTD</v>
      </c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</row>
    <row r="3" spans="2:15" x14ac:dyDescent="0.3">
      <c r="B3" s="154" t="s">
        <v>81</v>
      </c>
      <c r="C3" s="165">
        <f>'Data Sheet'!B16</f>
        <v>42460</v>
      </c>
      <c r="D3" s="165">
        <f>'Data Sheet'!C16</f>
        <v>42825</v>
      </c>
      <c r="E3" s="165">
        <f>'Data Sheet'!D16</f>
        <v>43190</v>
      </c>
      <c r="F3" s="165">
        <f>'Data Sheet'!E16</f>
        <v>43555</v>
      </c>
      <c r="G3" s="165">
        <f>'Data Sheet'!F16</f>
        <v>43921</v>
      </c>
      <c r="H3" s="165">
        <f>'Data Sheet'!G16</f>
        <v>44286</v>
      </c>
      <c r="I3" s="165">
        <f>'Data Sheet'!H16</f>
        <v>44651</v>
      </c>
      <c r="J3" s="165">
        <f>'Data Sheet'!I16</f>
        <v>45016</v>
      </c>
      <c r="K3" s="165">
        <f>'Data Sheet'!J16</f>
        <v>45382</v>
      </c>
      <c r="L3" s="165">
        <f>'Data Sheet'!K16</f>
        <v>45747</v>
      </c>
      <c r="M3" s="165" t="s">
        <v>179</v>
      </c>
      <c r="N3" s="157" t="s">
        <v>177</v>
      </c>
      <c r="O3" s="157" t="s">
        <v>178</v>
      </c>
    </row>
    <row r="5" spans="2:15" x14ac:dyDescent="0.3">
      <c r="B5" s="44" t="s">
        <v>22</v>
      </c>
      <c r="C5" s="44"/>
      <c r="D5" s="45">
        <f>HistoricaIFS!D6</f>
        <v>-1.2280329732469508E-2</v>
      </c>
      <c r="E5" s="45">
        <f>HistoricaIFS!E6</f>
        <v>8.104774581985974E-2</v>
      </c>
      <c r="F5" s="45">
        <f>HistoricaIFS!F6</f>
        <v>3.5629919045237157E-2</v>
      </c>
      <c r="G5" s="45">
        <f>HistoricaIFS!G6</f>
        <v>-0.135360159555724</v>
      </c>
      <c r="H5" s="45">
        <f>HistoricaIFS!H6</f>
        <v>-4.3181168490336042E-2</v>
      </c>
      <c r="I5" s="45">
        <f>HistoricaIFS!I6</f>
        <v>0.11472967306158344</v>
      </c>
      <c r="J5" s="45">
        <f>HistoricaIFS!J6</f>
        <v>0.24245815155859707</v>
      </c>
      <c r="K5" s="45">
        <f>HistoricaIFS!K6</f>
        <v>0.25450126062612277</v>
      </c>
      <c r="L5" s="45">
        <f>HistoricaIFS!L6</f>
        <v>1.3084771068347711E-2</v>
      </c>
      <c r="N5">
        <f>IFERROR(AVERAGE(D5:L5),0)</f>
        <v>6.1181095933468703E-2</v>
      </c>
      <c r="O5">
        <f>IFERROR(MEDIAN(D5:L5),0)</f>
        <v>3.5629919045237157E-2</v>
      </c>
    </row>
    <row r="6" spans="2:15" x14ac:dyDescent="0.3">
      <c r="B6" t="s">
        <v>150</v>
      </c>
      <c r="D6" s="46">
        <f>HistoricaIFS!D17/HistoricaIFS!C17-1</f>
        <v>-0.22936587208052905</v>
      </c>
      <c r="E6" s="46">
        <f>HistoricaIFS!E17/HistoricaIFS!D17-1</f>
        <v>6.3165689322506102E-2</v>
      </c>
      <c r="F6" s="46">
        <f>HistoricaIFS!F17/HistoricaIFS!E17-1</f>
        <v>-0.21595203460649259</v>
      </c>
      <c r="G6" s="46">
        <f>HistoricaIFS!G17/HistoricaIFS!F17-1</f>
        <v>-0.27072537547138131</v>
      </c>
      <c r="H6" s="46">
        <f>HistoricaIFS!H17/HistoricaIFS!G17-1</f>
        <v>0.79503554497758966</v>
      </c>
      <c r="I6" s="46">
        <f>HistoricaIFS!I17/HistoricaIFS!H17-1</f>
        <v>-0.234374182150762</v>
      </c>
      <c r="J6" s="46">
        <f>HistoricaIFS!J17/HistoricaIFS!I17-1</f>
        <v>0.28704223973294352</v>
      </c>
      <c r="K6" s="46">
        <f>HistoricaIFS!K17/HistoricaIFS!J17-1</f>
        <v>0.81746176428064277</v>
      </c>
      <c r="L6" s="46">
        <f>HistoricaIFS!L17/HistoricaIFS!K17-1</f>
        <v>-4.510237963475372E-2</v>
      </c>
      <c r="N6">
        <f t="shared" ref="N6:N40" si="0">IFERROR(AVERAGE(D6:L6),0)</f>
        <v>0.1074650438188626</v>
      </c>
      <c r="O6">
        <f t="shared" ref="O6:O40" si="1">IFERROR(MEDIAN(D6:L6),0)</f>
        <v>-4.510237963475372E-2</v>
      </c>
    </row>
    <row r="7" spans="2:15" x14ac:dyDescent="0.3">
      <c r="B7" t="s">
        <v>151</v>
      </c>
      <c r="D7" s="46">
        <f>IFERROR(HistoricaIFS!D26-HistoricaIFS!C26-1,0)</f>
        <v>-9350.6999999999243</v>
      </c>
      <c r="E7" s="46">
        <f>IFERROR(HistoricaIFS!E26-HistoricaIFS!D26-1,0)</f>
        <v>-2224.390000000054</v>
      </c>
      <c r="F7" s="46">
        <f>IFERROR(HistoricaIFS!F26-HistoricaIFS!E26-1,0)</f>
        <v>-9908.1999999999716</v>
      </c>
      <c r="G7" s="46">
        <f>IFERROR(HistoricaIFS!G26-HistoricaIFS!F26-1,0)</f>
        <v>-5997.7900000000591</v>
      </c>
      <c r="H7" s="46">
        <f>IFERROR(HistoricaIFS!H26-HistoricaIFS!G26-1,0)</f>
        <v>11324.240000000031</v>
      </c>
      <c r="I7" s="46">
        <f>IFERROR(HistoricaIFS!I26-HistoricaIFS!H26-1,0)</f>
        <v>-10072.00999999998</v>
      </c>
      <c r="J7" s="46">
        <f>IFERROR(HistoricaIFS!J26-HistoricaIFS!I26-1,0)</f>
        <v>6156.419999999951</v>
      </c>
      <c r="K7" s="46">
        <f>IFERROR(HistoricaIFS!K26-HistoricaIFS!J26-1,0)</f>
        <v>26260.040000000037</v>
      </c>
      <c r="L7" s="46">
        <f>IFERROR(HistoricaIFS!L26-HistoricaIFS!K26-1,0)</f>
        <v>3885</v>
      </c>
      <c r="N7">
        <f t="shared" si="0"/>
        <v>1119.1788888888923</v>
      </c>
      <c r="O7">
        <f t="shared" si="1"/>
        <v>-2224.390000000054</v>
      </c>
    </row>
    <row r="8" spans="2:15" x14ac:dyDescent="0.3">
      <c r="B8" t="s">
        <v>152</v>
      </c>
      <c r="D8" s="46">
        <f>IFERROR((HistoricaIFS!D32/HistoricaIFS!C32-1),0)</f>
        <v>0.82837059752308373</v>
      </c>
      <c r="E8" s="46">
        <f>IFERROR((HistoricaIFS!E32/HistoricaIFS!D32-1),0)</f>
        <v>-0.40770629037000328</v>
      </c>
      <c r="F8" s="46">
        <f>IFERROR((HistoricaIFS!F32/HistoricaIFS!E32-1),0)</f>
        <v>0.1751482984701842</v>
      </c>
      <c r="G8" s="46">
        <f>IFERROR((HistoricaIFS!G32/HistoricaIFS!F32-1),0)</f>
        <v>0.86636556854410207</v>
      </c>
      <c r="H8" s="46">
        <f>IFERROR((HistoricaIFS!H32/HistoricaIFS!G32-1),0)</f>
        <v>1.4778647686832742</v>
      </c>
      <c r="I8" s="46">
        <f>IFERROR((HistoricaIFS!I32/HistoricaIFS!H32-1),0)</f>
        <v>-0.68024358016889752</v>
      </c>
      <c r="J8" s="46">
        <f>IFERROR((HistoricaIFS!J32/HistoricaIFS!I32-1),0)</f>
        <v>-0.39938914840100614</v>
      </c>
      <c r="K8" s="46">
        <f>IFERROR((HistoricaIFS!K32/HistoricaIFS!J32-1),0)</f>
        <v>0.61711037989829487</v>
      </c>
      <c r="L8" s="46">
        <f>IFERROR((HistoricaIFS!L32/HistoricaIFS!K32-1),0)</f>
        <v>0.56677765445800965</v>
      </c>
      <c r="N8">
        <f t="shared" si="0"/>
        <v>0.33825536095967135</v>
      </c>
      <c r="O8">
        <f t="shared" si="1"/>
        <v>0.56677765445800965</v>
      </c>
    </row>
    <row r="9" spans="2:15" x14ac:dyDescent="0.3">
      <c r="B9" s="47" t="s">
        <v>153</v>
      </c>
      <c r="C9" s="47"/>
      <c r="D9" s="48">
        <f>IFERROR(HistoricaIFS!D40/HistoricaIFS!C40-1,0)</f>
        <v>-1</v>
      </c>
      <c r="E9" s="48">
        <f>IFERROR(HistoricaIFS!E40/HistoricaIFS!D40-1,0)</f>
        <v>0</v>
      </c>
      <c r="F9" s="48">
        <f>IFERROR(HistoricaIFS!F40/HistoricaIFS!E40-1,0)</f>
        <v>0</v>
      </c>
      <c r="G9" s="48">
        <f>IFERROR(HistoricaIFS!G40/HistoricaIFS!F40-1,0)</f>
        <v>0</v>
      </c>
      <c r="H9" s="48">
        <f>IFERROR(HistoricaIFS!H40/HistoricaIFS!G40-1,0)</f>
        <v>0</v>
      </c>
      <c r="I9" s="48">
        <f>IFERROR(HistoricaIFS!I40/HistoricaIFS!H40-1,0)</f>
        <v>0</v>
      </c>
      <c r="J9" s="48">
        <f>IFERROR(HistoricaIFS!J40/HistoricaIFS!I40-1,0)</f>
        <v>0</v>
      </c>
      <c r="K9" s="48">
        <f>IFERROR(HistoricaIFS!K40/HistoricaIFS!J40-1,0)</f>
        <v>2.0016689880185949</v>
      </c>
      <c r="L9" s="48">
        <f>IFERROR(HistoricaIFS!L40/HistoricaIFS!K40-1,0)</f>
        <v>-0.1336306958339889</v>
      </c>
      <c r="N9">
        <f t="shared" si="0"/>
        <v>9.6448699131622892E-2</v>
      </c>
      <c r="O9">
        <f t="shared" si="1"/>
        <v>0</v>
      </c>
    </row>
    <row r="10" spans="2:15" x14ac:dyDescent="0.3"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2:15" x14ac:dyDescent="0.3">
      <c r="B11" s="44" t="s">
        <v>154</v>
      </c>
      <c r="C11" s="45">
        <f>IFERROR(HistoricaIFS!C9,0)</f>
        <v>0.75265475803309057</v>
      </c>
      <c r="D11" s="45">
        <f>IFERROR(HistoricaIFS!D9,0)</f>
        <v>0.76180921746770036</v>
      </c>
      <c r="E11" s="45">
        <f>IFERROR(HistoricaIFS!E9,0)</f>
        <v>0.78350009919380004</v>
      </c>
      <c r="F11" s="45">
        <f>IFERROR(HistoricaIFS!F9,0)</f>
        <v>0.80428832503583503</v>
      </c>
      <c r="G11" s="45">
        <f>IFERROR(HistoricaIFS!G9,0)</f>
        <v>0.80582872728508226</v>
      </c>
      <c r="H11" s="45">
        <f>IFERROR(HistoricaIFS!H9,0)</f>
        <v>0.7819461377791167</v>
      </c>
      <c r="I11" s="45">
        <f>IFERROR(HistoricaIFS!I9,0)</f>
        <v>0.80192891728252624</v>
      </c>
      <c r="J11" s="45">
        <f>IFERROR(HistoricaIFS!J9,0)</f>
        <v>0.79314982005363122</v>
      </c>
      <c r="K11" s="45">
        <f>IFERROR(HistoricaIFS!K9,0)</f>
        <v>0.7704324264543243</v>
      </c>
      <c r="L11" s="45">
        <f>IFERROR(HistoricaIFS!L9,0)</f>
        <v>0.77510319653396109</v>
      </c>
      <c r="N11">
        <f t="shared" si="0"/>
        <v>0.78644298523177514</v>
      </c>
      <c r="O11">
        <f t="shared" si="1"/>
        <v>0.78350009919380004</v>
      </c>
    </row>
    <row r="12" spans="2:15" x14ac:dyDescent="0.3">
      <c r="B12" t="s">
        <v>155</v>
      </c>
      <c r="C12" s="46">
        <f>IFERROR(HistoricaIFS!C18,0)</f>
        <v>0.14061845347443788</v>
      </c>
      <c r="D12" s="46">
        <f>IFERROR(HistoricaIFS!D18,0)</f>
        <v>0.10971268723777329</v>
      </c>
      <c r="E12" s="46">
        <f>IFERROR(HistoricaIFS!E18,0)</f>
        <v>0.10789788444182975</v>
      </c>
      <c r="F12" s="46">
        <f>IFERROR(HistoricaIFS!F18,0)</f>
        <v>8.1686628795807431E-2</v>
      </c>
      <c r="G12" s="46">
        <f>IFERROR(HistoricaIFS!G18,0)</f>
        <v>6.8898034485042198E-2</v>
      </c>
      <c r="H12" s="46">
        <f>IFERROR(HistoricaIFS!H18,0)</f>
        <v>0.12925583904385496</v>
      </c>
      <c r="I12" s="46">
        <f>IFERROR(HistoricaIFS!I18,0)</f>
        <v>8.877632835227646E-2</v>
      </c>
      <c r="J12" s="46">
        <f>IFERROR(HistoricaIFS!J18,0)</f>
        <v>9.1961958102532049E-2</v>
      </c>
      <c r="K12" s="46">
        <f>IFERROR(HistoricaIFS!K18,0)</f>
        <v>0.13323011133230112</v>
      </c>
      <c r="L12" s="46">
        <f>IFERROR(HistoricaIFS!L18,0)</f>
        <v>0.12557795744777631</v>
      </c>
      <c r="N12">
        <f t="shared" si="0"/>
        <v>0.10411082547102152</v>
      </c>
      <c r="O12">
        <f t="shared" si="1"/>
        <v>0.10789788444182975</v>
      </c>
    </row>
    <row r="13" spans="2:15" x14ac:dyDescent="0.3">
      <c r="B13" t="s">
        <v>156</v>
      </c>
      <c r="C13" s="46">
        <f>IFERROR(HistoricaIFS!C27,0)</f>
        <v>6.1511300676516931E-2</v>
      </c>
      <c r="D13" s="46">
        <f>IFERROR(HistoricaIFS!D27,0)</f>
        <v>2.7608071132565179E-2</v>
      </c>
      <c r="E13" s="46">
        <f>IFERROR(HistoricaIFS!E27,0)</f>
        <v>1.7912163958707913E-2</v>
      </c>
      <c r="F13" s="46">
        <f>IFERROR(HistoricaIFS!F27,0)</f>
        <v>-1.5516078776333117E-2</v>
      </c>
      <c r="G13" s="46">
        <f>IFERROR(HistoricaIFS!G27,0)</f>
        <v>-4.0915360088026265E-2</v>
      </c>
      <c r="H13" s="46">
        <f>IFERROR(HistoricaIFS!H27,0)</f>
        <v>2.5763151547420113E-3</v>
      </c>
      <c r="I13" s="46">
        <f>IFERROR(HistoricaIFS!I27,0)</f>
        <v>-3.3856482095653805E-2</v>
      </c>
      <c r="J13" s="46">
        <f>IFERROR(HistoricaIFS!J27,0)</f>
        <v>-9.4518849588445895E-3</v>
      </c>
      <c r="K13" s="46">
        <f>IFERROR(HistoricaIFS!K27,0)</f>
        <v>5.2972701467227018E-2</v>
      </c>
      <c r="L13" s="46">
        <f>IFERROR(HistoricaIFS!L27,0)</f>
        <v>6.1126462661617711E-2</v>
      </c>
      <c r="N13">
        <f t="shared" si="0"/>
        <v>6.9395453840002293E-3</v>
      </c>
      <c r="O13">
        <f t="shared" si="1"/>
        <v>2.5763151547420113E-3</v>
      </c>
    </row>
    <row r="14" spans="2:15" x14ac:dyDescent="0.3">
      <c r="B14" t="s">
        <v>156</v>
      </c>
      <c r="C14" s="46">
        <f>(HistoricaIFS!C17-HistoricaIFS!C23)/HistoricaIFS!C5</f>
        <v>7.941702777851016E-2</v>
      </c>
      <c r="D14" s="46">
        <f>(HistoricaIFS!D17-HistoricaIFS!D23)/HistoricaIFS!D5</f>
        <v>4.3322300645279484E-2</v>
      </c>
      <c r="E14" s="46">
        <f>(HistoricaIFS!E17-HistoricaIFS!E23)/HistoricaIFS!E5</f>
        <v>3.3970412259310953E-2</v>
      </c>
      <c r="F14" s="46">
        <f>(HistoricaIFS!F17-HistoricaIFS!F23)/HistoricaIFS!F5</f>
        <v>3.5560233478087663E-3</v>
      </c>
      <c r="G14" s="46">
        <f>(HistoricaIFS!G17-HistoricaIFS!G23)/HistoricaIFS!G5</f>
        <v>-1.3170363258273456E-2</v>
      </c>
      <c r="H14" s="46">
        <f>(HistoricaIFS!H17-HistoricaIFS!H23)/HistoricaIFS!H5</f>
        <v>3.4991608110258483E-2</v>
      </c>
      <c r="I14" s="46">
        <f>(HistoricaIFS!I17-HistoricaIFS!I23)/HistoricaIFS!I5</f>
        <v>-4.1514992694289269E-4</v>
      </c>
      <c r="J14" s="46">
        <f>(HistoricaIFS!J17-HistoricaIFS!J23)/HistoricaIFS!J5</f>
        <v>2.0104346955433228E-2</v>
      </c>
      <c r="K14" s="46">
        <f>(HistoricaIFS!K17-HistoricaIFS!K23)/HistoricaIFS!K5</f>
        <v>7.0469752267197525E-2</v>
      </c>
      <c r="L14" s="46">
        <f>(HistoricaIFS!L17-HistoricaIFS!L23)/HistoricaIFS!L5</f>
        <v>7.2686748769033083E-2</v>
      </c>
      <c r="N14">
        <f t="shared" si="0"/>
        <v>2.9501742129900574E-2</v>
      </c>
      <c r="O14">
        <f t="shared" si="1"/>
        <v>3.3970412259310953E-2</v>
      </c>
    </row>
    <row r="15" spans="2:15" x14ac:dyDescent="0.3">
      <c r="B15" s="47" t="s">
        <v>157</v>
      </c>
      <c r="C15" s="48">
        <f>IFERROR(HistoricaIFS!C33,0)</f>
        <v>1.0832293214027256E-2</v>
      </c>
      <c r="D15" s="48">
        <f>IFERROR(HistoricaIFS!D33,0)</f>
        <v>2.0051687753582775E-2</v>
      </c>
      <c r="E15" s="48">
        <f>IFERROR(HistoricaIFS!E33,0)</f>
        <v>1.0986090642004774E-2</v>
      </c>
      <c r="F15" s="48">
        <f>IFERROR(HistoricaIFS!F33,0)</f>
        <v>1.2466118916971143E-2</v>
      </c>
      <c r="G15" s="48">
        <f>IFERROR(HistoricaIFS!G33,0)</f>
        <v>2.690870120911424E-2</v>
      </c>
      <c r="H15" s="48">
        <f>IFERROR(HistoricaIFS!H33,0)</f>
        <v>6.9685211558689689E-2</v>
      </c>
      <c r="I15" s="48">
        <f>IFERROR(HistoricaIFS!I33,0)</f>
        <v>1.9988966205574919E-2</v>
      </c>
      <c r="J15" s="48">
        <f>IFERROR(HistoricaIFS!J33,0)</f>
        <v>9.6627721426701518E-3</v>
      </c>
      <c r="K15" s="48">
        <f>IFERROR(HistoricaIFS!K33,0)</f>
        <v>1.245576199955762E-2</v>
      </c>
      <c r="L15" s="48">
        <f>IFERROR(HistoricaIFS!L33,0)</f>
        <v>1.926335300606102E-2</v>
      </c>
      <c r="N15">
        <f t="shared" si="0"/>
        <v>2.2385407048247367E-2</v>
      </c>
      <c r="O15">
        <f t="shared" si="1"/>
        <v>1.926335300606102E-2</v>
      </c>
    </row>
    <row r="16" spans="2:15" x14ac:dyDescent="0.3"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5" x14ac:dyDescent="0.3">
      <c r="B17" s="44" t="s">
        <v>158</v>
      </c>
      <c r="C17" s="49">
        <f>IFERROR(HistoricaIFS!C15,0)</f>
        <v>0.10672678849247161</v>
      </c>
      <c r="D17" s="49">
        <f>IFERROR(HistoricaIFS!D15,0)</f>
        <v>0.12847809529452636</v>
      </c>
      <c r="E17" s="49">
        <f>IFERROR(HistoricaIFS!E15,0)</f>
        <v>0.10860201636437025</v>
      </c>
      <c r="F17" s="49">
        <f>IFERROR(HistoricaIFS!F15,0)</f>
        <v>0.11402504616835751</v>
      </c>
      <c r="G17" s="49">
        <f>IFERROR(HistoricaIFS!G15,0)</f>
        <v>0.12527323822987554</v>
      </c>
      <c r="H17" s="49">
        <f>IFERROR(HistoricaIFS!H15,0)</f>
        <v>8.8798023177028354E-2</v>
      </c>
      <c r="I17" s="49">
        <f>IFERROR(HistoricaIFS!I15,0)</f>
        <v>0.10929475436519734</v>
      </c>
      <c r="J17" s="49">
        <f>IFERROR(HistoricaIFS!J15,0)</f>
        <v>0.11488822184383672</v>
      </c>
      <c r="K17" s="49">
        <f>IFERROR(HistoricaIFS!K15,0)</f>
        <v>9.6337462213374622E-2</v>
      </c>
      <c r="L17" s="49">
        <f>IFERROR(HistoricaIFS!L15,0)</f>
        <v>9.9318846018262658E-2</v>
      </c>
      <c r="N17">
        <f t="shared" si="0"/>
        <v>0.10944618929720326</v>
      </c>
      <c r="O17">
        <f t="shared" si="1"/>
        <v>0.10929475436519734</v>
      </c>
    </row>
    <row r="18" spans="2:15" x14ac:dyDescent="0.3">
      <c r="B18" t="s">
        <v>159</v>
      </c>
      <c r="C18" s="5">
        <f>IFERROR(HistoricaIFS!C24,0)</f>
        <v>6.1201425695927715E-2</v>
      </c>
      <c r="D18" s="5">
        <f>IFERROR(HistoricaIFS!D24,0)</f>
        <v>6.63903865924938E-2</v>
      </c>
      <c r="E18" s="5">
        <f>IFERROR(HistoricaIFS!E24,0)</f>
        <v>7.3927472182518786E-2</v>
      </c>
      <c r="F18" s="5">
        <f>IFERROR(HistoricaIFS!F24,0)</f>
        <v>7.8130605447998658E-2</v>
      </c>
      <c r="G18" s="5">
        <f>IFERROR(HistoricaIFS!G24,0)</f>
        <v>8.206839774331566E-2</v>
      </c>
      <c r="H18" s="5">
        <f>IFERROR(HistoricaIFS!H24,0)</f>
        <v>9.4264230933596482E-2</v>
      </c>
      <c r="I18" s="5">
        <f>IFERROR(HistoricaIFS!I24,0)</f>
        <v>8.9191478279219347E-2</v>
      </c>
      <c r="J18" s="5">
        <f>IFERROR(HistoricaIFS!J24,0)</f>
        <v>7.1857611147098821E-2</v>
      </c>
      <c r="K18" s="5">
        <f>IFERROR(HistoricaIFS!K24,0)</f>
        <v>6.2760359065103591E-2</v>
      </c>
      <c r="L18" s="5">
        <f>IFERROR(HistoricaIFS!L24,0)</f>
        <v>5.2891208678743216E-2</v>
      </c>
      <c r="N18">
        <f t="shared" si="0"/>
        <v>7.4609083341120916E-2</v>
      </c>
      <c r="O18">
        <f t="shared" si="1"/>
        <v>7.3927472182518786E-2</v>
      </c>
    </row>
    <row r="19" spans="2:15" x14ac:dyDescent="0.3">
      <c r="B19" s="47" t="s">
        <v>160</v>
      </c>
      <c r="C19" s="50">
        <f>C13</f>
        <v>6.1511300676516931E-2</v>
      </c>
      <c r="D19" s="50">
        <f t="shared" ref="D19:L19" si="2">D13</f>
        <v>2.7608071132565179E-2</v>
      </c>
      <c r="E19" s="50">
        <f t="shared" si="2"/>
        <v>1.7912163958707913E-2</v>
      </c>
      <c r="F19" s="50">
        <f t="shared" si="2"/>
        <v>-1.5516078776333117E-2</v>
      </c>
      <c r="G19" s="50">
        <f t="shared" si="2"/>
        <v>-4.0915360088026265E-2</v>
      </c>
      <c r="H19" s="50">
        <f t="shared" si="2"/>
        <v>2.5763151547420113E-3</v>
      </c>
      <c r="I19" s="50">
        <f t="shared" si="2"/>
        <v>-3.3856482095653805E-2</v>
      </c>
      <c r="J19" s="50">
        <f t="shared" si="2"/>
        <v>-9.4518849588445895E-3</v>
      </c>
      <c r="K19" s="50">
        <f t="shared" si="2"/>
        <v>5.2972701467227018E-2</v>
      </c>
      <c r="L19" s="50">
        <f t="shared" si="2"/>
        <v>6.1126462661617711E-2</v>
      </c>
      <c r="N19">
        <f t="shared" si="0"/>
        <v>6.9395453840002293E-3</v>
      </c>
      <c r="O19">
        <f t="shared" si="1"/>
        <v>2.5763151547420113E-3</v>
      </c>
    </row>
    <row r="21" spans="2:15" x14ac:dyDescent="0.3">
      <c r="B21" s="44" t="s">
        <v>161</v>
      </c>
      <c r="C21" s="45">
        <f>IFERROR((HistoricaIFS!C17-HistoricaIFS!C23)/SUM(HistoricaIFS!C47:C49),0)</f>
        <v>0.1462081011853561</v>
      </c>
      <c r="D21" s="45">
        <f>IFERROR((HistoricaIFS!D17-HistoricaIFS!D23)/SUM(HistoricaIFS!D47:D49),0)</f>
        <v>8.5490986154773282E-2</v>
      </c>
      <c r="E21" s="45">
        <f>IFERROR((HistoricaIFS!E17-HistoricaIFS!E23)/SUM(HistoricaIFS!E47:E49),0)</f>
        <v>5.3716113570365424E-2</v>
      </c>
      <c r="F21" s="45">
        <f>IFERROR((HistoricaIFS!F17-HistoricaIFS!F23)/SUM(HistoricaIFS!F47:F49),0)</f>
        <v>6.4542733637543747E-3</v>
      </c>
      <c r="G21" s="45">
        <f>IFERROR((HistoricaIFS!G17-HistoricaIFS!G23)/SUM(HistoricaIFS!G47:G49),0)</f>
        <v>-1.8302177555437667E-2</v>
      </c>
      <c r="H21" s="45">
        <f>IFERROR((HistoricaIFS!H17-HistoricaIFS!H23)/SUM(HistoricaIFS!H47:H49),0)</f>
        <v>4.4284324706251613E-2</v>
      </c>
      <c r="I21" s="45">
        <f>IFERROR((HistoricaIFS!I17-HistoricaIFS!I23)/SUM(HistoricaIFS!I47:I49),0)</f>
        <v>-6.0520306054739361E-4</v>
      </c>
      <c r="J21" s="45">
        <f>IFERROR((HistoricaIFS!J17-HistoricaIFS!J23)/SUM(HistoricaIFS!J47:J49),0)</f>
        <v>3.8762956416083731E-2</v>
      </c>
      <c r="K21" s="45">
        <f>IFERROR((HistoricaIFS!K17-HistoricaIFS!K23)/SUM(HistoricaIFS!K47:K49),0)</f>
        <v>0.15914601783725843</v>
      </c>
      <c r="L21" s="45">
        <f>IFERROR((HistoricaIFS!L17-HistoricaIFS!L23)/SUM(HistoricaIFS!L47:L49),0)</f>
        <v>0.17028622578376421</v>
      </c>
      <c r="N21">
        <f t="shared" si="0"/>
        <v>5.9914835246251776E-2</v>
      </c>
      <c r="O21">
        <f t="shared" si="1"/>
        <v>4.4284324706251613E-2</v>
      </c>
    </row>
    <row r="22" spans="2:15" x14ac:dyDescent="0.3">
      <c r="B22" t="s">
        <v>107</v>
      </c>
      <c r="C22" s="5">
        <f>HistoricaIFS!C43</f>
        <v>0.76475477971737327</v>
      </c>
      <c r="D22" s="5">
        <f>HistoricaIFS!D43</f>
        <v>1</v>
      </c>
      <c r="E22" s="5">
        <f>HistoricaIFS!E43</f>
        <v>1</v>
      </c>
      <c r="F22" s="5">
        <f>HistoricaIFS!F43</f>
        <v>1</v>
      </c>
      <c r="G22" s="5">
        <f>HistoricaIFS!G43</f>
        <v>1</v>
      </c>
      <c r="H22" s="5">
        <f>HistoricaIFS!H43</f>
        <v>1</v>
      </c>
      <c r="I22" s="5">
        <f>HistoricaIFS!I43</f>
        <v>1</v>
      </c>
      <c r="J22" s="5">
        <f>HistoricaIFS!J43</f>
        <v>-1.3063860536536898</v>
      </c>
      <c r="K22" s="5">
        <f>HistoricaIFS!K43</f>
        <v>-5.9230074916508713</v>
      </c>
      <c r="L22" s="5">
        <f>HistoricaIFS!L43</f>
        <v>-4.9978811832776469</v>
      </c>
      <c r="N22">
        <f t="shared" si="0"/>
        <v>-0.69191941428691195</v>
      </c>
      <c r="O22">
        <f t="shared" si="1"/>
        <v>1</v>
      </c>
    </row>
    <row r="23" spans="2:15" x14ac:dyDescent="0.3">
      <c r="B23" t="s">
        <v>162</v>
      </c>
      <c r="C23" s="46">
        <f>HistoricaIFS!C32/SUM(HistoricaIFS!C47:C48)</f>
        <v>3.7461934347539236E-2</v>
      </c>
      <c r="D23" s="46">
        <f>HistoricaIFS!D32/SUM(HistoricaIFS!D47:D48)</f>
        <v>9.3138373552772741E-2</v>
      </c>
      <c r="E23" s="46">
        <f>HistoricaIFS!E32/SUM(HistoricaIFS!E47:E48)</f>
        <v>3.3564603898377315E-2</v>
      </c>
      <c r="F23" s="46">
        <f>HistoricaIFS!F32/SUM(HistoricaIFS!F47:F48)</f>
        <v>6.2546153544492514E-2</v>
      </c>
      <c r="G23" s="46">
        <f>HistoricaIFS!G32/SUM(HistoricaIFS!G47:G48)</f>
        <v>0.11136911402342445</v>
      </c>
      <c r="H23" s="46">
        <f>HistoricaIFS!H32/SUM(HistoricaIFS!H47:H48)</f>
        <v>0.31507752858450239</v>
      </c>
      <c r="I23" s="46">
        <f>HistoricaIFS!I32/SUM(HistoricaIFS!I47:I48)</f>
        <v>0.12490675753188198</v>
      </c>
      <c r="J23" s="46">
        <f>HistoricaIFS!J32/SUM(HistoricaIFS!J47:J48)</f>
        <v>7.376142910507287E-2</v>
      </c>
      <c r="K23" s="46">
        <f>HistoricaIFS!K32/SUM(HistoricaIFS!K47:K48)</f>
        <v>6.3661414541086689E-2</v>
      </c>
      <c r="L23" s="46">
        <f>HistoricaIFS!L32/SUM(HistoricaIFS!L47:L48)</f>
        <v>7.2926711668273872E-2</v>
      </c>
      <c r="N23">
        <f t="shared" si="0"/>
        <v>0.10566134293887608</v>
      </c>
      <c r="O23">
        <f t="shared" si="1"/>
        <v>7.376142910507287E-2</v>
      </c>
    </row>
    <row r="24" spans="2:15" x14ac:dyDescent="0.3">
      <c r="B24" t="s">
        <v>163</v>
      </c>
      <c r="C24" s="46">
        <f>IFERROR(C22*C23,0)</f>
        <v>2.8649193349739067E-2</v>
      </c>
      <c r="D24" s="46">
        <f t="shared" ref="D24:L24" si="3">IFERROR(D22*D23,0)</f>
        <v>9.3138373552772741E-2</v>
      </c>
      <c r="E24" s="46">
        <f t="shared" si="3"/>
        <v>3.3564603898377315E-2</v>
      </c>
      <c r="F24" s="46">
        <f t="shared" si="3"/>
        <v>6.2546153544492514E-2</v>
      </c>
      <c r="G24" s="46">
        <f t="shared" si="3"/>
        <v>0.11136911402342445</v>
      </c>
      <c r="H24" s="46">
        <f t="shared" si="3"/>
        <v>0.31507752858450239</v>
      </c>
      <c r="I24" s="46">
        <f t="shared" si="3"/>
        <v>0.12490675753188198</v>
      </c>
      <c r="J24" s="46">
        <f t="shared" si="3"/>
        <v>-9.6360902280432564E-2</v>
      </c>
      <c r="K24" s="46">
        <f t="shared" si="3"/>
        <v>-0.37706703525594815</v>
      </c>
      <c r="L24" s="46">
        <f t="shared" si="3"/>
        <v>-0.36447904000518039</v>
      </c>
      <c r="N24">
        <f t="shared" si="0"/>
        <v>-1.0811605156234428E-2</v>
      </c>
      <c r="O24">
        <f t="shared" si="1"/>
        <v>6.2546153544492514E-2</v>
      </c>
    </row>
    <row r="25" spans="2:15" x14ac:dyDescent="0.3">
      <c r="B25" s="47" t="s">
        <v>164</v>
      </c>
      <c r="C25" s="51">
        <f>IFERROR((HistoricaIFS!C17-HistoricaIFS!C23)/HistoricaIFS!C20,0)</f>
        <v>4.4352863933500721</v>
      </c>
      <c r="D25" s="51">
        <f>IFERROR((HistoricaIFS!D17-HistoricaIFS!D23)/HistoricaIFS!D20,0)</f>
        <v>2.7568835373205922</v>
      </c>
      <c r="E25" s="51">
        <f>IFERROR((HistoricaIFS!E17-HistoricaIFS!E23)/HistoricaIFS!E20,0)</f>
        <v>2.1154494328024094</v>
      </c>
      <c r="F25" s="51">
        <f>IFERROR((HistoricaIFS!F17-HistoricaIFS!F23)/HistoricaIFS!F20,0)</f>
        <v>0.18645156808947008</v>
      </c>
      <c r="G25" s="51">
        <f>IFERROR((HistoricaIFS!G17-HistoricaIFS!G23)/HistoricaIFS!G20,0)</f>
        <v>-0.47469326953211261</v>
      </c>
      <c r="H25" s="51">
        <f>IFERROR((HistoricaIFS!H17-HistoricaIFS!H23)/HistoricaIFS!H20,0)</f>
        <v>1.079478385658198</v>
      </c>
      <c r="I25" s="51">
        <f>IFERROR((HistoricaIFS!I17-HistoricaIFS!I23)/HistoricaIFS!I20,0)</f>
        <v>-1.2414275987824557E-2</v>
      </c>
      <c r="J25" s="51">
        <f>IFERROR((HistoricaIFS!J17-HistoricaIFS!J23)/HistoricaIFS!J20,0)</f>
        <v>0.68020669934320532</v>
      </c>
      <c r="K25" s="51">
        <f>IFERROR((HistoricaIFS!K17-HistoricaIFS!K23)/HistoricaIFS!K20,0)</f>
        <v>4.0275217276797468</v>
      </c>
      <c r="L25" s="51">
        <f>IFERROR((HistoricaIFS!L17-HistoricaIFS!L23)/HistoricaIFS!L20,0)</f>
        <v>6.2876254180602009</v>
      </c>
      <c r="N25">
        <f t="shared" si="0"/>
        <v>1.8496121359370987</v>
      </c>
      <c r="O25">
        <f t="shared" si="1"/>
        <v>1.079478385658198</v>
      </c>
    </row>
    <row r="27" spans="2:15" x14ac:dyDescent="0.3">
      <c r="B27" s="44" t="s">
        <v>169</v>
      </c>
      <c r="C27" s="52">
        <f>IFERROR(HistoricaIFS!C5/HistoricaIFS!C61,0)</f>
        <v>20.119918266350599</v>
      </c>
      <c r="D27" s="52">
        <f>IFERROR(HistoricaIFS!D5/HistoricaIFS!D61,0)</f>
        <v>19.160353236640844</v>
      </c>
      <c r="E27" s="52">
        <f>IFERROR(HistoricaIFS!E5/HistoricaIFS!E61,0)</f>
        <v>14.655712224718874</v>
      </c>
      <c r="F27" s="52">
        <f>IFERROR(HistoricaIFS!F5/HistoricaIFS!F61,0)</f>
        <v>15.894698773489607</v>
      </c>
      <c r="G27" s="52">
        <f>IFERROR(HistoricaIFS!G5/HistoricaIFS!G61,0)</f>
        <v>23.366617170976728</v>
      </c>
      <c r="H27" s="52">
        <f>IFERROR(HistoricaIFS!H5/HistoricaIFS!H61,0)</f>
        <v>19.701330853658153</v>
      </c>
      <c r="I27" s="52">
        <f>IFERROR(HistoricaIFS!I5/HistoricaIFS!I61,0)</f>
        <v>22.379917570317598</v>
      </c>
      <c r="J27" s="52">
        <f>IFERROR(HistoricaIFS!J5/HistoricaIFS!J61,0)</f>
        <v>21.982947610142858</v>
      </c>
      <c r="K27" s="52">
        <f>IFERROR(HistoricaIFS!K5/HistoricaIFS!K61,0)</f>
        <v>25.602642756016991</v>
      </c>
      <c r="L27" s="52">
        <f>IFERROR(HistoricaIFS!L5/HistoricaIFS!L61,0)</f>
        <v>33.189538043478258</v>
      </c>
      <c r="N27">
        <f t="shared" si="0"/>
        <v>21.770417582159993</v>
      </c>
      <c r="O27">
        <f t="shared" si="1"/>
        <v>21.982947610142858</v>
      </c>
    </row>
    <row r="28" spans="2:15" x14ac:dyDescent="0.3">
      <c r="B28" t="s">
        <v>165</v>
      </c>
      <c r="C28" s="53">
        <f>IFERROR(HistoricaIFS!C5/HistoricaIFS!C50,0)</f>
        <v>2.3769603927858673</v>
      </c>
      <c r="D28" s="53">
        <f>IFERROR(HistoricaIFS!D5/HistoricaIFS!D50,0)</f>
        <v>1.9842807783040648</v>
      </c>
      <c r="E28" s="53">
        <f>IFERROR(HistoricaIFS!E5/HistoricaIFS!E50,0)</f>
        <v>2.0414780318629697</v>
      </c>
      <c r="F28" s="53">
        <f>IFERROR(HistoricaIFS!F5/HistoricaIFS!F50,0)</f>
        <v>2.1667847518227492</v>
      </c>
      <c r="G28" s="53">
        <f>IFERROR(HistoricaIFS!G5/HistoricaIFS!G50,0)</f>
        <v>1.9731057108276859</v>
      </c>
      <c r="H28" s="53">
        <f>IFERROR(HistoricaIFS!H5/HistoricaIFS!H50,0)</f>
        <v>1.7323684804395676</v>
      </c>
      <c r="I28" s="53">
        <f>IFERROR(HistoricaIFS!I5/HistoricaIFS!I50,0)</f>
        <v>2.0170312149360217</v>
      </c>
      <c r="J28" s="53">
        <f>IFERROR(HistoricaIFS!J5/HistoricaIFS!J50,0)</f>
        <v>2.2286057258733614</v>
      </c>
      <c r="K28" s="53">
        <f>IFERROR(HistoricaIFS!K5/HistoricaIFS!K50,0)</f>
        <v>2.4473804408505742</v>
      </c>
      <c r="L28" s="53">
        <f>IFERROR(HistoricaIFS!L5/HistoricaIFS!L50,0)</f>
        <v>2.3228766594994954</v>
      </c>
      <c r="N28">
        <f t="shared" si="0"/>
        <v>2.1015457549351653</v>
      </c>
      <c r="O28">
        <f t="shared" si="1"/>
        <v>2.0414780318629697</v>
      </c>
    </row>
    <row r="29" spans="2:15" x14ac:dyDescent="0.3">
      <c r="B29" t="s">
        <v>166</v>
      </c>
      <c r="C29" s="53">
        <f>IFERROR(HistoricaIFS!C5/HistoricaIFS!C62,0)</f>
        <v>8.3613381173839922</v>
      </c>
      <c r="D29" s="53">
        <f>IFERROR(HistoricaIFS!D5/HistoricaIFS!D62,0)</f>
        <v>7.6867643466738649</v>
      </c>
      <c r="E29" s="53">
        <f>IFERROR(HistoricaIFS!E5/HistoricaIFS!E62,0)</f>
        <v>6.9190051742350009</v>
      </c>
      <c r="F29" s="53">
        <f>IFERROR(HistoricaIFS!F5/HistoricaIFS!F62,0)</f>
        <v>7.7392856309817084</v>
      </c>
      <c r="G29" s="53">
        <f>IFERROR(HistoricaIFS!G5/HistoricaIFS!G62,0)</f>
        <v>6.9698269049637886</v>
      </c>
      <c r="H29" s="53">
        <f>IFERROR(HistoricaIFS!H5/HistoricaIFS!H62,0)</f>
        <v>6.9217098811563442</v>
      </c>
      <c r="I29" s="53">
        <f>IFERROR(HistoricaIFS!I5/HistoricaIFS!I62,0)</f>
        <v>7.9015588385356104</v>
      </c>
      <c r="J29" s="53">
        <f>IFERROR(HistoricaIFS!J5/HistoricaIFS!J62,0)</f>
        <v>8.4888641723217457</v>
      </c>
      <c r="K29" s="53">
        <f>IFERROR(HistoricaIFS!K5/HistoricaIFS!K62,0)</f>
        <v>9.0821126642671803</v>
      </c>
      <c r="L29" s="53">
        <f>IFERROR(HistoricaIFS!L5/HistoricaIFS!L62,0)</f>
        <v>9.3019738094734397</v>
      </c>
      <c r="N29">
        <f t="shared" si="0"/>
        <v>7.8901223802898528</v>
      </c>
      <c r="O29">
        <f t="shared" si="1"/>
        <v>7.7392856309817084</v>
      </c>
    </row>
    <row r="30" spans="2:15" x14ac:dyDescent="0.3">
      <c r="B30" t="s">
        <v>167</v>
      </c>
      <c r="C30" s="53">
        <f>IFERROR(HistoricaIFS!C5/HistoricaIFS!C54,0)</f>
        <v>2.546312771514708</v>
      </c>
      <c r="D30" s="53">
        <f>IFERROR(HistoricaIFS!D5/HistoricaIFS!D54,0)</f>
        <v>2.8109343484246239</v>
      </c>
      <c r="E30" s="53">
        <f>IFERROR(HistoricaIFS!E5/HistoricaIFS!E54,0)</f>
        <v>2.4012948768781421</v>
      </c>
      <c r="F30" s="53">
        <f>IFERROR(HistoricaIFS!F5/HistoricaIFS!F54,0)</f>
        <v>2.7144319562092578</v>
      </c>
      <c r="G30" s="53">
        <f>IFERROR(HistoricaIFS!G5/HistoricaIFS!G54,0)</f>
        <v>2.0539205744067566</v>
      </c>
      <c r="H30" s="53">
        <f>IFERROR(HistoricaIFS!H5/HistoricaIFS!H54,0)</f>
        <v>1.8008727134726064</v>
      </c>
      <c r="I30" s="53">
        <f>IFERROR(HistoricaIFS!I5/HistoricaIFS!I54,0)</f>
        <v>2.0053488717943728</v>
      </c>
      <c r="J30" s="53">
        <f>IFERROR(HistoricaIFS!J5/HistoricaIFS!J54,0)</f>
        <v>2.6193791539294131</v>
      </c>
      <c r="K30" s="53">
        <f>IFERROR(HistoricaIFS!K5/HistoricaIFS!K54,0)</f>
        <v>3.5784804386362699</v>
      </c>
      <c r="L30" s="53">
        <f>IFERROR(HistoricaIFS!L5/HistoricaIFS!L54,0)</f>
        <v>3.8004010475638954</v>
      </c>
      <c r="N30">
        <f t="shared" si="0"/>
        <v>2.6427848868128154</v>
      </c>
      <c r="O30">
        <f t="shared" si="1"/>
        <v>2.6193791539294131</v>
      </c>
    </row>
    <row r="31" spans="2:15" x14ac:dyDescent="0.3">
      <c r="B31" s="47" t="s">
        <v>168</v>
      </c>
      <c r="C31" s="51">
        <f>IFERROR(HistoricaIFS!C5/SUM(HistoricaIFS!C47:C48),0)</f>
        <v>3.4583567493379874</v>
      </c>
      <c r="D31" s="51">
        <f>IFERROR(HistoricaIFS!D5/SUM(HistoricaIFS!D47:D48),0)</f>
        <v>4.6449144180459854</v>
      </c>
      <c r="E31" s="51">
        <f>IFERROR(HistoricaIFS!E5/SUM(HistoricaIFS!E47:E48),0)</f>
        <v>3.0551908765475422</v>
      </c>
      <c r="F31" s="51">
        <f>IFERROR(HistoricaIFS!F5/SUM(HistoricaIFS!F47:F48),0)</f>
        <v>5.0172915853821474</v>
      </c>
      <c r="G31" s="51">
        <f>IFERROR(HistoricaIFS!G5/SUM(HistoricaIFS!G47:G48),0)</f>
        <v>4.1387770133514525</v>
      </c>
      <c r="H31" s="51">
        <f>IFERROR(HistoricaIFS!H5/SUM(HistoricaIFS!H47:H48),0)</f>
        <v>4.5214403678625628</v>
      </c>
      <c r="I31" s="51">
        <f>IFERROR(HistoricaIFS!I5/SUM(HistoricaIFS!I47:I48),0)</f>
        <v>6.2487852671963351</v>
      </c>
      <c r="J31" s="51">
        <f>IFERROR(HistoricaIFS!J5/SUM(HistoricaIFS!J47:J48),0)</f>
        <v>7.6335680916398054</v>
      </c>
      <c r="K31" s="51">
        <f>IFERROR(HistoricaIFS!K5/SUM(HistoricaIFS!K47:K48),0)</f>
        <v>5.1110012011587651</v>
      </c>
      <c r="L31" s="51">
        <f>IFERROR(HistoricaIFS!L5/SUM(HistoricaIFS!L47:L48),0)</f>
        <v>3.7857745557239291</v>
      </c>
      <c r="N31">
        <f t="shared" si="0"/>
        <v>4.9063048196565022</v>
      </c>
      <c r="O31">
        <f t="shared" si="1"/>
        <v>4.6449144180459854</v>
      </c>
    </row>
    <row r="33" spans="2:15" x14ac:dyDescent="0.3">
      <c r="B33" s="44" t="s">
        <v>170</v>
      </c>
      <c r="C33" s="54">
        <f>IFERROR(365/C27,0)</f>
        <v>18.141226776772818</v>
      </c>
      <c r="D33" s="54">
        <f t="shared" ref="D33:L33" si="4">IFERROR(365/D27,0)</f>
        <v>19.049753180019717</v>
      </c>
      <c r="E33" s="54">
        <f t="shared" si="4"/>
        <v>24.904964999543136</v>
      </c>
      <c r="F33" s="54">
        <f t="shared" si="4"/>
        <v>22.963631157878556</v>
      </c>
      <c r="G33" s="54">
        <f t="shared" si="4"/>
        <v>15.620575170519771</v>
      </c>
      <c r="H33" s="54">
        <f t="shared" si="4"/>
        <v>18.52666719376608</v>
      </c>
      <c r="I33" s="54">
        <f t="shared" si="4"/>
        <v>16.309264717046954</v>
      </c>
      <c r="J33" s="54">
        <f t="shared" si="4"/>
        <v>16.603778823163378</v>
      </c>
      <c r="K33" s="54">
        <f t="shared" si="4"/>
        <v>14.256340780063407</v>
      </c>
      <c r="L33" s="54">
        <f t="shared" si="4"/>
        <v>10.997441408248902</v>
      </c>
      <c r="N33">
        <f t="shared" si="0"/>
        <v>17.692490825583324</v>
      </c>
      <c r="O33">
        <f t="shared" si="1"/>
        <v>16.603778823163378</v>
      </c>
    </row>
    <row r="34" spans="2:15" x14ac:dyDescent="0.3">
      <c r="B34" t="s">
        <v>171</v>
      </c>
      <c r="C34" s="55">
        <f>IFERROR(365/C28,0)</f>
        <v>153.55745981623585</v>
      </c>
      <c r="D34" s="55">
        <f t="shared" ref="D34:L34" si="5">IFERROR(365/D28,0)</f>
        <v>183.94574194885871</v>
      </c>
      <c r="E34" s="55">
        <f t="shared" si="5"/>
        <v>178.79202925682029</v>
      </c>
      <c r="F34" s="55">
        <f t="shared" si="5"/>
        <v>168.45235766633192</v>
      </c>
      <c r="G34" s="55">
        <f t="shared" si="5"/>
        <v>184.98755439052903</v>
      </c>
      <c r="H34" s="55">
        <f t="shared" si="5"/>
        <v>210.69420514242194</v>
      </c>
      <c r="I34" s="55">
        <f t="shared" si="5"/>
        <v>180.95902398395825</v>
      </c>
      <c r="J34" s="55">
        <f t="shared" si="5"/>
        <v>163.77953074537726</v>
      </c>
      <c r="K34" s="55">
        <f t="shared" si="5"/>
        <v>149.13905247732802</v>
      </c>
      <c r="L34" s="55">
        <f t="shared" si="5"/>
        <v>157.13275111156597</v>
      </c>
      <c r="N34">
        <f t="shared" si="0"/>
        <v>175.32024963591019</v>
      </c>
      <c r="O34">
        <f t="shared" si="1"/>
        <v>178.79202925682029</v>
      </c>
    </row>
    <row r="35" spans="2:15" x14ac:dyDescent="0.3">
      <c r="B35" t="s">
        <v>172</v>
      </c>
      <c r="C35" s="55">
        <f>IFERROR(365/C29,0)</f>
        <v>43.653299851746382</v>
      </c>
      <c r="D35" s="55">
        <f t="shared" ref="D35:L35" si="6">IFERROR(365/D29,0)</f>
        <v>47.484218786795374</v>
      </c>
      <c r="E35" s="55">
        <f t="shared" si="6"/>
        <v>52.753248596949661</v>
      </c>
      <c r="F35" s="55">
        <f t="shared" si="6"/>
        <v>47.161975588398164</v>
      </c>
      <c r="G35" s="55">
        <f t="shared" si="6"/>
        <v>52.368588915752468</v>
      </c>
      <c r="H35" s="55">
        <f t="shared" si="6"/>
        <v>52.732634893247351</v>
      </c>
      <c r="I35" s="55">
        <f t="shared" si="6"/>
        <v>46.193416698982041</v>
      </c>
      <c r="J35" s="55">
        <f t="shared" si="6"/>
        <v>42.997507392107408</v>
      </c>
      <c r="K35" s="55">
        <f t="shared" si="6"/>
        <v>40.188887045638872</v>
      </c>
      <c r="L35" s="55">
        <f t="shared" si="6"/>
        <v>39.238983841071651</v>
      </c>
      <c r="N35">
        <f t="shared" si="0"/>
        <v>46.791051306549228</v>
      </c>
      <c r="O35">
        <f t="shared" si="1"/>
        <v>47.161975588398164</v>
      </c>
    </row>
    <row r="36" spans="2:15" x14ac:dyDescent="0.3">
      <c r="B36" s="47" t="s">
        <v>173</v>
      </c>
      <c r="C36" s="56">
        <f>C34-SUM(C33,C35)</f>
        <v>91.762933187716641</v>
      </c>
      <c r="D36" s="56">
        <f t="shared" ref="D36:L36" si="7">D34-SUM(D33,D35)</f>
        <v>117.41176998204362</v>
      </c>
      <c r="E36" s="56">
        <f t="shared" si="7"/>
        <v>101.13381566032749</v>
      </c>
      <c r="F36" s="56">
        <f t="shared" si="7"/>
        <v>98.326750920055204</v>
      </c>
      <c r="G36" s="56">
        <f t="shared" si="7"/>
        <v>116.99839030425679</v>
      </c>
      <c r="H36" s="56">
        <f t="shared" si="7"/>
        <v>139.43490305540851</v>
      </c>
      <c r="I36" s="56">
        <f t="shared" si="7"/>
        <v>118.45634256792925</v>
      </c>
      <c r="J36" s="56">
        <f t="shared" si="7"/>
        <v>104.17824453010647</v>
      </c>
      <c r="K36" s="56">
        <f t="shared" si="7"/>
        <v>94.693824651625746</v>
      </c>
      <c r="L36" s="56">
        <f t="shared" si="7"/>
        <v>106.89632586224542</v>
      </c>
      <c r="N36">
        <f t="shared" si="0"/>
        <v>110.83670750377762</v>
      </c>
      <c r="O36">
        <f t="shared" si="1"/>
        <v>106.89632586224542</v>
      </c>
    </row>
    <row r="38" spans="2:15" x14ac:dyDescent="0.3">
      <c r="B38" s="44" t="s">
        <v>174</v>
      </c>
      <c r="C38" s="45">
        <f>IFERROR(HistoricaIFS!C81/HistoricaIFS!C5,0)</f>
        <v>0.13880099148274136</v>
      </c>
      <c r="D38" s="45">
        <f>IFERROR(HistoricaIFS!D81/HistoricaIFS!D5,0)</f>
        <v>0.11197567184939619</v>
      </c>
      <c r="E38" s="45">
        <f>IFERROR(HistoricaIFS!E81/HistoricaIFS!E5,0)</f>
        <v>8.1828025115925046E-2</v>
      </c>
      <c r="F38" s="45">
        <f>IFERROR(HistoricaIFS!F81/HistoricaIFS!F5,0)</f>
        <v>6.2565741886424511E-2</v>
      </c>
      <c r="G38" s="45">
        <f>IFERROR(HistoricaIFS!G81/HistoricaIFS!G5,0)</f>
        <v>0.10201174812827479</v>
      </c>
      <c r="H38" s="45">
        <f>IFERROR(HistoricaIFS!H81/HistoricaIFS!H5,0)</f>
        <v>0.11609531425300171</v>
      </c>
      <c r="I38" s="45">
        <f>IFERROR(HistoricaIFS!I81/HistoricaIFS!I5,0)</f>
        <v>5.1294000056454646E-2</v>
      </c>
      <c r="J38" s="45">
        <f>IFERROR(HistoricaIFS!J81/HistoricaIFS!J5,0)</f>
        <v>0.10228722123386519</v>
      </c>
      <c r="K38" s="45">
        <f>IFERROR(HistoricaIFS!K81/HistoricaIFS!K5,0)</f>
        <v>0.15648040625230406</v>
      </c>
      <c r="L38" s="45">
        <f>IFERROR(HistoricaIFS!L81/HistoricaIFS!L5,0)</f>
        <v>0.14351311704704398</v>
      </c>
      <c r="N38">
        <f t="shared" si="0"/>
        <v>0.10311680509141002</v>
      </c>
      <c r="O38">
        <f t="shared" si="1"/>
        <v>0.10228722123386519</v>
      </c>
    </row>
    <row r="39" spans="2:15" x14ac:dyDescent="0.3">
      <c r="B39" t="s">
        <v>175</v>
      </c>
      <c r="C39" s="46">
        <f>IFERROR(HistoricaIFS!C81/HistoricaIFS!C66,0)</f>
        <v>0.14400184935170102</v>
      </c>
      <c r="D39" s="46">
        <f>IFERROR(HistoricaIFS!D81/HistoricaIFS!D66,0)</f>
        <v>0.11078934667193191</v>
      </c>
      <c r="E39" s="46">
        <f>IFERROR(HistoricaIFS!E81/HistoricaIFS!E66,0)</f>
        <v>7.291441677589669E-2</v>
      </c>
      <c r="F39" s="46">
        <f>IFERROR(HistoricaIFS!F81/HistoricaIFS!F66,0)</f>
        <v>6.1795172832341566E-2</v>
      </c>
      <c r="G39" s="46">
        <f>IFERROR(HistoricaIFS!G81/HistoricaIFS!G66,0)</f>
        <v>8.3178370725236248E-2</v>
      </c>
      <c r="H39" s="46">
        <f>IFERROR(HistoricaIFS!H81/HistoricaIFS!H66,0)</f>
        <v>8.4902092224692749E-2</v>
      </c>
      <c r="I39" s="46">
        <f>IFERROR(HistoricaIFS!I81/HistoricaIFS!I66,0)</f>
        <v>4.3405261430014191E-2</v>
      </c>
      <c r="J39" s="46">
        <f>IFERROR(HistoricaIFS!J81/HistoricaIFS!J66,0)</f>
        <v>0.10573858301633621</v>
      </c>
      <c r="K39" s="46">
        <f>IFERROR(HistoricaIFS!K81/HistoricaIFS!K66,0)</f>
        <v>0.18379199017105929</v>
      </c>
      <c r="L39" s="46">
        <f>IFERROR(HistoricaIFS!L81/HistoricaIFS!L66,0)</f>
        <v>0.1673912985810655</v>
      </c>
      <c r="N39">
        <f t="shared" si="0"/>
        <v>0.1015451702698416</v>
      </c>
      <c r="O39">
        <f t="shared" si="1"/>
        <v>8.4902092224692749E-2</v>
      </c>
    </row>
    <row r="40" spans="2:15" x14ac:dyDescent="0.3">
      <c r="B40" s="47" t="s">
        <v>176</v>
      </c>
      <c r="C40" s="48">
        <f>IFERROR(HistoricaIFS!C81/HistoricaIFS!C49,0)</f>
        <v>0.54641034971761804</v>
      </c>
      <c r="D40" s="48">
        <f>IFERROR(HistoricaIFS!D81/HistoricaIFS!D49,0)</f>
        <v>0.38419174194487354</v>
      </c>
      <c r="E40" s="48">
        <f>IFERROR(HistoricaIFS!E81/HistoricaIFS!E49,0)</f>
        <v>0.2682054406233042</v>
      </c>
      <c r="F40" s="48">
        <f>IFERROR(HistoricaIFS!F81/HistoricaIFS!F49,0)</f>
        <v>0.17792267017934674</v>
      </c>
      <c r="G40" s="48">
        <f>IFERROR(HistoricaIFS!G81/HistoricaIFS!G49,0)</f>
        <v>0.21341857254452445</v>
      </c>
      <c r="H40" s="48">
        <f>IFERROR(HistoricaIFS!H81/HistoricaIFS!H49,0)</f>
        <v>0.20403773797572189</v>
      </c>
      <c r="I40" s="48">
        <f>IFERROR(HistoricaIFS!I81/HistoricaIFS!I49,0)</f>
        <v>9.7528812584146168E-2</v>
      </c>
      <c r="J40" s="48">
        <f>IFERROR(HistoricaIFS!J81/HistoricaIFS!J49,0)</f>
        <v>0.26386617180202071</v>
      </c>
      <c r="K40" s="48">
        <f>IFERROR(HistoricaIFS!K81/HistoricaIFS!K49,0)</f>
        <v>0.63315744331742241</v>
      </c>
      <c r="L40" s="48">
        <f>IFERROR(HistoricaIFS!L81/HistoricaIFS!L49,0)</f>
        <v>0.88205199888174446</v>
      </c>
      <c r="N40">
        <f t="shared" si="0"/>
        <v>0.34715339887256724</v>
      </c>
      <c r="O40">
        <f t="shared" si="1"/>
        <v>0.26386617180202071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4CD4BE1-D613-4E5E-94F4-FF45650E131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  <x14:sparkline>
              <xm:f>'Ratio Analysis'!D10:L10</xm:f>
              <xm:sqref>M10</xm:sqref>
            </x14:sparkline>
            <x14:sparkline>
              <xm:f>'Ratio Analysis'!D11:L11</xm:f>
              <xm:sqref>M11</xm:sqref>
            </x14:sparkline>
            <x14:sparkline>
              <xm:f>'Ratio Analysis'!D12:L12</xm:f>
              <xm:sqref>M12</xm:sqref>
            </x14:sparkline>
            <x14:sparkline>
              <xm:f>'Ratio Analysis'!D13:L13</xm:f>
              <xm:sqref>M13</xm:sqref>
            </x14:sparkline>
            <x14:sparkline>
              <xm:f>'Ratio Analysis'!D14:L14</xm:f>
              <xm:sqref>M14</xm:sqref>
            </x14:sparkline>
            <x14:sparkline>
              <xm:f>'Ratio Analysis'!D15:L15</xm:f>
              <xm:sqref>M15</xm:sqref>
            </x14:sparkline>
            <x14:sparkline>
              <xm:f>'Ratio Analysis'!D16:L16</xm:f>
              <xm:sqref>M16</xm:sqref>
            </x14:sparkline>
            <x14:sparkline>
              <xm:f>'Ratio Analysis'!D17:L17</xm:f>
              <xm:sqref>M17</xm:sqref>
            </x14:sparkline>
            <x14:sparkline>
              <xm:f>'Ratio Analysis'!D18:L18</xm:f>
              <xm:sqref>M18</xm:sqref>
            </x14:sparkline>
            <x14:sparkline>
              <xm:f>'Ratio Analysis'!D19:L19</xm:f>
              <xm:sqref>M19</xm:sqref>
            </x14:sparkline>
            <x14:sparkline>
              <xm:f>'Ratio Analysis'!D20:L20</xm:f>
              <xm:sqref>M20</xm:sqref>
            </x14:sparkline>
            <x14:sparkline>
              <xm:f>'Ratio Analysis'!D21:L21</xm:f>
              <xm:sqref>M21</xm:sqref>
            </x14:sparkline>
            <x14:sparkline>
              <xm:f>'Ratio Analysis'!D22:L22</xm:f>
              <xm:sqref>M22</xm:sqref>
            </x14:sparkline>
            <x14:sparkline>
              <xm:f>'Ratio Analysis'!D23:L23</xm:f>
              <xm:sqref>M23</xm:sqref>
            </x14:sparkline>
            <x14:sparkline>
              <xm:f>'Ratio Analysis'!D24:L24</xm:f>
              <xm:sqref>M24</xm:sqref>
            </x14:sparkline>
            <x14:sparkline>
              <xm:f>'Ratio Analysis'!D25:L25</xm:f>
              <xm:sqref>M25</xm:sqref>
            </x14:sparkline>
            <x14:sparkline>
              <xm:f>'Ratio Analysis'!D26:L26</xm:f>
              <xm:sqref>M26</xm:sqref>
            </x14:sparkline>
            <x14:sparkline>
              <xm:f>'Ratio Analysis'!D27:L27</xm:f>
              <xm:sqref>M27</xm:sqref>
            </x14:sparkline>
            <x14:sparkline>
              <xm:f>'Ratio Analysis'!D28:L28</xm:f>
              <xm:sqref>M28</xm:sqref>
            </x14:sparkline>
            <x14:sparkline>
              <xm:f>'Ratio Analysis'!D29:L29</xm:f>
              <xm:sqref>M29</xm:sqref>
            </x14:sparkline>
            <x14:sparkline>
              <xm:f>'Ratio Analysis'!D30:L30</xm:f>
              <xm:sqref>M30</xm:sqref>
            </x14:sparkline>
            <x14:sparkline>
              <xm:f>'Ratio Analysis'!D31:L31</xm:f>
              <xm:sqref>M31</xm:sqref>
            </x14:sparkline>
            <x14:sparkline>
              <xm:f>'Ratio Analysis'!D32:L32</xm:f>
              <xm:sqref>M32</xm:sqref>
            </x14:sparkline>
            <x14:sparkline>
              <xm:f>'Ratio Analysis'!D33:L33</xm:f>
              <xm:sqref>M33</xm:sqref>
            </x14:sparkline>
            <x14:sparkline>
              <xm:f>'Ratio Analysis'!D34:L34</xm:f>
              <xm:sqref>M34</xm:sqref>
            </x14:sparkline>
            <x14:sparkline>
              <xm:f>'Ratio Analysis'!D35:L35</xm:f>
              <xm:sqref>M35</xm:sqref>
            </x14:sparkline>
            <x14:sparkline>
              <xm:f>'Ratio Analysis'!D36:L36</xm:f>
              <xm:sqref>M36</xm:sqref>
            </x14:sparkline>
            <x14:sparkline>
              <xm:f>'Ratio Analysis'!D37:L37</xm:f>
              <xm:sqref>M37</xm:sqref>
            </x14:sparkline>
            <x14:sparkline>
              <xm:f>'Ratio Analysis'!D38:L38</xm:f>
              <xm:sqref>M38</xm:sqref>
            </x14:sparkline>
            <x14:sparkline>
              <xm:f>'Ratio Analysis'!D39:L39</xm:f>
              <xm:sqref>M39</xm:sqref>
            </x14:sparkline>
            <x14:sparkline>
              <xm:f>'Ratio Analysis'!D40:L40</xm:f>
              <xm:sqref>M40</xm:sqref>
            </x14:sparkline>
          </x14:sparklines>
        </x14:sparklineGroup>
        <x14:sparklineGroup displayEmptyCellsAs="gap" xr2:uid="{5F0DB809-2E9C-4F95-9BEF-A95EA0CF014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</x14:sparklines>
        </x14:sparklineGroup>
      </x14:sparklineGroup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1C8E-8D51-4463-A602-29B1B9FA051C}">
  <dimension ref="B2:P43"/>
  <sheetViews>
    <sheetView workbookViewId="0">
      <selection activeCell="C34" sqref="C34"/>
    </sheetView>
  </sheetViews>
  <sheetFormatPr defaultRowHeight="14.4" x14ac:dyDescent="0.3"/>
  <cols>
    <col min="2" max="2" width="34.109375" bestFit="1" customWidth="1"/>
    <col min="3" max="13" width="9.21875" bestFit="1" customWidth="1"/>
  </cols>
  <sheetData>
    <row r="2" spans="2:16" ht="15" thickBot="1" x14ac:dyDescent="0.35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5"/>
    </row>
    <row r="3" spans="2:16" ht="15" thickBot="1" x14ac:dyDescent="0.35">
      <c r="B3" s="26"/>
      <c r="C3" s="26">
        <v>42430</v>
      </c>
      <c r="D3" s="26">
        <v>42795</v>
      </c>
      <c r="E3" s="26">
        <v>43160</v>
      </c>
      <c r="F3" s="26">
        <v>43525</v>
      </c>
      <c r="G3" s="26">
        <v>43891</v>
      </c>
      <c r="H3" s="26">
        <v>44256</v>
      </c>
      <c r="I3" s="26">
        <v>44621</v>
      </c>
      <c r="J3" s="26">
        <v>44986</v>
      </c>
      <c r="K3" s="26">
        <v>45352</v>
      </c>
      <c r="L3" s="26">
        <v>45717</v>
      </c>
      <c r="M3" s="28"/>
    </row>
    <row r="4" spans="2:16" ht="15" thickBot="1" x14ac:dyDescent="0.35">
      <c r="B4" s="27" t="s">
        <v>115</v>
      </c>
      <c r="C4" s="28">
        <v>37900</v>
      </c>
      <c r="D4" s="28">
        <v>30199</v>
      </c>
      <c r="E4" s="28">
        <v>23857</v>
      </c>
      <c r="F4" s="28">
        <v>18891</v>
      </c>
      <c r="G4" s="28">
        <v>26633</v>
      </c>
      <c r="H4" s="28">
        <v>29001</v>
      </c>
      <c r="I4" s="28">
        <v>14283</v>
      </c>
      <c r="J4" s="28">
        <v>35388</v>
      </c>
      <c r="K4" s="28">
        <v>67915</v>
      </c>
      <c r="L4" s="28">
        <v>63102</v>
      </c>
      <c r="M4" s="28"/>
    </row>
    <row r="5" spans="2:16" x14ac:dyDescent="0.3">
      <c r="B5" s="29" t="s">
        <v>116</v>
      </c>
      <c r="C5" s="28">
        <v>38626</v>
      </c>
      <c r="D5" s="28">
        <v>28840</v>
      </c>
      <c r="E5" s="28">
        <v>33312</v>
      </c>
      <c r="F5" s="28">
        <v>28771</v>
      </c>
      <c r="G5" s="28">
        <v>23352</v>
      </c>
      <c r="H5" s="28">
        <v>31198</v>
      </c>
      <c r="I5" s="28">
        <v>26943</v>
      </c>
      <c r="J5" s="28">
        <v>41694</v>
      </c>
      <c r="K5" s="28">
        <v>65106</v>
      </c>
      <c r="L5" s="28">
        <v>58937</v>
      </c>
      <c r="M5" s="32"/>
    </row>
    <row r="6" spans="2:16" x14ac:dyDescent="0.3">
      <c r="B6" s="30" t="s">
        <v>69</v>
      </c>
      <c r="C6" s="32">
        <v>-2223</v>
      </c>
      <c r="D6" s="32">
        <v>-4152</v>
      </c>
      <c r="E6" s="32">
        <v>-10688</v>
      </c>
      <c r="F6" s="32">
        <v>-9109</v>
      </c>
      <c r="G6" s="32">
        <v>9950</v>
      </c>
      <c r="H6" s="32">
        <v>-5505</v>
      </c>
      <c r="I6" s="31">
        <v>185</v>
      </c>
      <c r="J6" s="32">
        <v>-2213</v>
      </c>
      <c r="K6" s="32">
        <v>-1876</v>
      </c>
      <c r="L6" s="32">
        <v>3573</v>
      </c>
      <c r="M6" s="32"/>
    </row>
    <row r="7" spans="2:16" x14ac:dyDescent="0.3">
      <c r="B7" s="30" t="s">
        <v>45</v>
      </c>
      <c r="C7" s="32">
        <v>-5743</v>
      </c>
      <c r="D7" s="32">
        <v>-6621</v>
      </c>
      <c r="E7" s="32">
        <v>-3560</v>
      </c>
      <c r="F7" s="32">
        <v>2069</v>
      </c>
      <c r="G7" s="32">
        <v>2326</v>
      </c>
      <c r="H7" s="32">
        <v>3814</v>
      </c>
      <c r="I7" s="31">
        <v>472</v>
      </c>
      <c r="J7" s="32">
        <v>-5665</v>
      </c>
      <c r="K7" s="32">
        <v>-7265</v>
      </c>
      <c r="L7" s="32">
        <v>2127</v>
      </c>
      <c r="M7" s="32"/>
      <c r="N7" s="40"/>
      <c r="O7" s="40"/>
      <c r="P7" s="40"/>
    </row>
    <row r="8" spans="2:16" x14ac:dyDescent="0.3">
      <c r="B8" s="30" t="s">
        <v>117</v>
      </c>
      <c r="C8" s="32">
        <v>3947</v>
      </c>
      <c r="D8" s="32">
        <v>9301</v>
      </c>
      <c r="E8" s="32">
        <v>7320</v>
      </c>
      <c r="F8" s="32">
        <v>-4692</v>
      </c>
      <c r="G8" s="32">
        <v>-8085</v>
      </c>
      <c r="H8" s="32">
        <v>5748</v>
      </c>
      <c r="I8" s="32">
        <v>-7012</v>
      </c>
      <c r="J8" s="32">
        <v>6945</v>
      </c>
      <c r="K8" s="32">
        <v>13706</v>
      </c>
      <c r="L8" s="32">
        <v>1303</v>
      </c>
      <c r="M8" s="31"/>
      <c r="N8" s="40">
        <f>SUM(C5:C12)</f>
        <v>39212</v>
      </c>
      <c r="O8" s="40"/>
    </row>
    <row r="9" spans="2:16" ht="15" thickBot="1" x14ac:dyDescent="0.35">
      <c r="B9" s="30" t="s">
        <v>118</v>
      </c>
      <c r="C9" s="31">
        <v>-520</v>
      </c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2"/>
      <c r="O9" s="40"/>
    </row>
    <row r="10" spans="2:16" ht="15" thickBot="1" x14ac:dyDescent="0.35">
      <c r="B10" s="30" t="s">
        <v>119</v>
      </c>
      <c r="C10" s="32">
        <v>5852</v>
      </c>
      <c r="D10" s="32">
        <v>4727</v>
      </c>
      <c r="E10" s="31">
        <v>494</v>
      </c>
      <c r="F10" s="32">
        <v>4512</v>
      </c>
      <c r="G10" s="31">
        <v>875</v>
      </c>
      <c r="H10" s="32">
        <v>-4150</v>
      </c>
      <c r="I10" s="32">
        <v>-4396</v>
      </c>
      <c r="J10" s="32">
        <v>-2194</v>
      </c>
      <c r="K10" s="32">
        <v>2760</v>
      </c>
      <c r="L10" s="32">
        <v>1153</v>
      </c>
      <c r="M10" s="28"/>
    </row>
    <row r="11" spans="2:16" ht="15" thickBot="1" x14ac:dyDescent="0.35">
      <c r="B11" s="29" t="s">
        <v>120</v>
      </c>
      <c r="C11" s="28">
        <v>1313</v>
      </c>
      <c r="D11" s="28">
        <v>3254</v>
      </c>
      <c r="E11" s="28">
        <v>-6434</v>
      </c>
      <c r="F11" s="28">
        <v>-7221</v>
      </c>
      <c r="G11" s="28">
        <v>5065</v>
      </c>
      <c r="H11" s="33">
        <v>-93</v>
      </c>
      <c r="I11" s="28">
        <v>-10750</v>
      </c>
      <c r="J11" s="28">
        <v>-3127</v>
      </c>
      <c r="K11" s="28">
        <v>7325</v>
      </c>
      <c r="L11" s="28">
        <v>8156</v>
      </c>
      <c r="M11" s="32"/>
    </row>
    <row r="12" spans="2:16" ht="15" thickBot="1" x14ac:dyDescent="0.35">
      <c r="B12" s="30" t="s">
        <v>121</v>
      </c>
      <c r="C12" s="32">
        <v>-2040</v>
      </c>
      <c r="D12" s="32">
        <v>-1895</v>
      </c>
      <c r="E12" s="32">
        <v>-3021</v>
      </c>
      <c r="F12" s="32">
        <v>-2659</v>
      </c>
      <c r="G12" s="32">
        <v>-1785</v>
      </c>
      <c r="H12" s="32">
        <v>-2105</v>
      </c>
      <c r="I12" s="32">
        <v>-1910</v>
      </c>
      <c r="J12" s="32">
        <v>-3179</v>
      </c>
      <c r="K12" s="32">
        <v>-4516</v>
      </c>
      <c r="L12" s="32">
        <v>-3991</v>
      </c>
      <c r="M12" s="35"/>
      <c r="N12" s="40"/>
    </row>
    <row r="13" spans="2:16" x14ac:dyDescent="0.3">
      <c r="B13" s="34" t="s">
        <v>122</v>
      </c>
      <c r="C13" s="35">
        <v>-36694</v>
      </c>
      <c r="D13" s="35">
        <v>-39571</v>
      </c>
      <c r="E13" s="35">
        <v>-25139</v>
      </c>
      <c r="F13" s="35">
        <v>-20878</v>
      </c>
      <c r="G13" s="35">
        <v>-33115</v>
      </c>
      <c r="H13" s="35">
        <v>-25672</v>
      </c>
      <c r="I13" s="35">
        <v>-4444</v>
      </c>
      <c r="J13" s="35">
        <v>-15417</v>
      </c>
      <c r="K13" s="35">
        <v>-22781</v>
      </c>
      <c r="L13" s="35">
        <v>-49982</v>
      </c>
      <c r="M13" s="37"/>
    </row>
    <row r="14" spans="2:16" x14ac:dyDescent="0.3">
      <c r="B14" s="36" t="s">
        <v>123</v>
      </c>
      <c r="C14" s="37">
        <v>-31503</v>
      </c>
      <c r="D14" s="37">
        <v>-16072</v>
      </c>
      <c r="E14" s="37">
        <v>-35079</v>
      </c>
      <c r="F14" s="37">
        <v>-35304</v>
      </c>
      <c r="G14" s="37">
        <v>-29702</v>
      </c>
      <c r="H14" s="37">
        <v>-20205</v>
      </c>
      <c r="I14" s="37">
        <v>-15168</v>
      </c>
      <c r="J14" s="37">
        <v>-19230</v>
      </c>
      <c r="K14" s="37">
        <v>-31414</v>
      </c>
      <c r="L14" s="37">
        <v>-38042</v>
      </c>
      <c r="M14" s="38"/>
    </row>
    <row r="15" spans="2:16" x14ac:dyDescent="0.3">
      <c r="B15" s="36" t="s">
        <v>124</v>
      </c>
      <c r="C15" s="38">
        <v>59</v>
      </c>
      <c r="D15" s="38">
        <v>53</v>
      </c>
      <c r="E15" s="38">
        <v>30</v>
      </c>
      <c r="F15" s="38">
        <v>67</v>
      </c>
      <c r="G15" s="38">
        <v>171</v>
      </c>
      <c r="H15" s="38">
        <v>351</v>
      </c>
      <c r="I15" s="38">
        <v>230</v>
      </c>
      <c r="J15" s="38">
        <v>285</v>
      </c>
      <c r="K15" s="38">
        <v>231</v>
      </c>
      <c r="L15" s="38">
        <v>974</v>
      </c>
      <c r="M15" s="37"/>
    </row>
    <row r="16" spans="2:16" x14ac:dyDescent="0.3">
      <c r="B16" s="36" t="s">
        <v>125</v>
      </c>
      <c r="C16" s="37">
        <v>-4728</v>
      </c>
      <c r="D16" s="38">
        <v>-6</v>
      </c>
      <c r="E16" s="38">
        <v>-329</v>
      </c>
      <c r="F16" s="38">
        <v>-130</v>
      </c>
      <c r="G16" s="37">
        <v>-1439</v>
      </c>
      <c r="H16" s="37">
        <v>-7530</v>
      </c>
      <c r="I16" s="37">
        <v>-3008</v>
      </c>
      <c r="J16" s="38">
        <v>-50</v>
      </c>
      <c r="K16" s="38">
        <v>-74</v>
      </c>
      <c r="L16" s="37">
        <v>-12677</v>
      </c>
      <c r="M16" s="38"/>
    </row>
    <row r="17" spans="2:13" x14ac:dyDescent="0.3">
      <c r="B17" s="36" t="s">
        <v>126</v>
      </c>
      <c r="C17" s="38">
        <v>89</v>
      </c>
      <c r="D17" s="37">
        <v>1965</v>
      </c>
      <c r="E17" s="37">
        <v>2381</v>
      </c>
      <c r="F17" s="37">
        <v>5644</v>
      </c>
      <c r="G17" s="38">
        <v>21</v>
      </c>
      <c r="H17" s="38">
        <v>226</v>
      </c>
      <c r="I17" s="38">
        <v>104</v>
      </c>
      <c r="J17" s="37">
        <v>6895</v>
      </c>
      <c r="K17" s="37">
        <v>10821</v>
      </c>
      <c r="L17" s="38">
        <v>111</v>
      </c>
      <c r="M17" s="37"/>
    </row>
    <row r="18" spans="2:13" x14ac:dyDescent="0.3">
      <c r="B18" s="36" t="s">
        <v>127</v>
      </c>
      <c r="C18" s="38">
        <v>731</v>
      </c>
      <c r="D18" s="38">
        <v>638</v>
      </c>
      <c r="E18" s="38">
        <v>690</v>
      </c>
      <c r="F18" s="38">
        <v>761</v>
      </c>
      <c r="G18" s="37">
        <v>1104</v>
      </c>
      <c r="H18" s="38">
        <v>428</v>
      </c>
      <c r="I18" s="38">
        <v>653</v>
      </c>
      <c r="J18" s="38">
        <v>973</v>
      </c>
      <c r="K18" s="37">
        <v>2493</v>
      </c>
      <c r="L18" s="37">
        <v>2420</v>
      </c>
      <c r="M18" s="38"/>
    </row>
    <row r="19" spans="2:13" x14ac:dyDescent="0.3">
      <c r="B19" s="36" t="s">
        <v>128</v>
      </c>
      <c r="C19" s="38">
        <v>58</v>
      </c>
      <c r="D19" s="38">
        <v>620</v>
      </c>
      <c r="E19" s="37">
        <v>1797</v>
      </c>
      <c r="F19" s="38">
        <v>232</v>
      </c>
      <c r="G19" s="38">
        <v>21</v>
      </c>
      <c r="H19" s="38">
        <v>18</v>
      </c>
      <c r="I19" s="38">
        <v>32</v>
      </c>
      <c r="J19" s="38">
        <v>46</v>
      </c>
      <c r="K19" s="38">
        <v>47</v>
      </c>
      <c r="L19" s="38">
        <v>64</v>
      </c>
      <c r="M19" s="38"/>
    </row>
    <row r="20" spans="2:13" x14ac:dyDescent="0.3">
      <c r="B20" s="36" t="s">
        <v>129</v>
      </c>
      <c r="C20" s="38">
        <v>0</v>
      </c>
      <c r="D20" s="38">
        <v>-107</v>
      </c>
      <c r="E20" s="38">
        <v>-4</v>
      </c>
      <c r="F20" s="38">
        <v>-9</v>
      </c>
      <c r="G20" s="38">
        <v>-606</v>
      </c>
      <c r="H20" s="38">
        <v>-10</v>
      </c>
      <c r="I20" s="38">
        <v>0</v>
      </c>
      <c r="J20" s="38">
        <v>0</v>
      </c>
      <c r="K20" s="38">
        <v>-150</v>
      </c>
      <c r="L20" s="38">
        <v>0</v>
      </c>
      <c r="M20" s="38"/>
    </row>
    <row r="21" spans="2:13" x14ac:dyDescent="0.3">
      <c r="B21" s="36" t="s">
        <v>130</v>
      </c>
      <c r="C21" s="38">
        <v>0</v>
      </c>
      <c r="D21" s="38">
        <v>0</v>
      </c>
      <c r="E21" s="38">
        <v>14</v>
      </c>
      <c r="F21" s="38">
        <v>533</v>
      </c>
      <c r="G21" s="38">
        <v>0</v>
      </c>
      <c r="H21" s="38">
        <v>0</v>
      </c>
      <c r="I21" s="38">
        <v>0</v>
      </c>
      <c r="J21" s="38">
        <v>19</v>
      </c>
      <c r="K21" s="38">
        <v>107</v>
      </c>
      <c r="L21" s="38">
        <v>765</v>
      </c>
      <c r="M21" s="38"/>
    </row>
    <row r="22" spans="2:13" x14ac:dyDescent="0.3">
      <c r="B22" s="36" t="s">
        <v>131</v>
      </c>
      <c r="C22" s="38">
        <v>-111</v>
      </c>
      <c r="D22" s="38">
        <v>0</v>
      </c>
      <c r="E22" s="38">
        <v>0</v>
      </c>
      <c r="F22" s="38">
        <v>-8</v>
      </c>
      <c r="G22" s="38">
        <v>-27</v>
      </c>
      <c r="H22" s="38">
        <v>0</v>
      </c>
      <c r="I22" s="38">
        <v>-98</v>
      </c>
      <c r="J22" s="38">
        <v>0</v>
      </c>
      <c r="K22" s="38">
        <v>0</v>
      </c>
      <c r="L22" s="38">
        <v>-688</v>
      </c>
      <c r="M22" s="38"/>
    </row>
    <row r="23" spans="2:13" ht="15" thickBot="1" x14ac:dyDescent="0.35">
      <c r="B23" s="36" t="s">
        <v>132</v>
      </c>
      <c r="C23" s="38">
        <v>0</v>
      </c>
      <c r="D23" s="38">
        <v>0</v>
      </c>
      <c r="E23" s="38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-25</v>
      </c>
      <c r="L23" s="38">
        <v>-20</v>
      </c>
      <c r="M23" s="37"/>
    </row>
    <row r="24" spans="2:13" ht="15" thickBot="1" x14ac:dyDescent="0.35">
      <c r="B24" s="36" t="s">
        <v>133</v>
      </c>
      <c r="C24" s="37">
        <v>-1289</v>
      </c>
      <c r="D24" s="37">
        <v>-26663</v>
      </c>
      <c r="E24" s="37">
        <v>5360</v>
      </c>
      <c r="F24" s="37">
        <v>7335</v>
      </c>
      <c r="G24" s="37">
        <v>-2659</v>
      </c>
      <c r="H24" s="37">
        <v>1051</v>
      </c>
      <c r="I24" s="37">
        <v>12813</v>
      </c>
      <c r="J24" s="37">
        <v>-4357</v>
      </c>
      <c r="K24" s="37">
        <v>-4817</v>
      </c>
      <c r="L24" s="37">
        <v>-2889</v>
      </c>
      <c r="M24" s="28"/>
    </row>
    <row r="25" spans="2:13" x14ac:dyDescent="0.3">
      <c r="B25" s="27" t="s">
        <v>134</v>
      </c>
      <c r="C25" s="28">
        <v>-3795</v>
      </c>
      <c r="D25" s="28">
        <v>6205</v>
      </c>
      <c r="E25" s="28">
        <v>2012</v>
      </c>
      <c r="F25" s="28">
        <v>8830</v>
      </c>
      <c r="G25" s="28">
        <v>3390</v>
      </c>
      <c r="H25" s="28">
        <v>9904</v>
      </c>
      <c r="I25" s="28">
        <v>-3380</v>
      </c>
      <c r="J25" s="28">
        <v>-26243</v>
      </c>
      <c r="K25" s="28">
        <v>-37006</v>
      </c>
      <c r="L25" s="28">
        <v>-18786</v>
      </c>
      <c r="M25" s="32"/>
    </row>
    <row r="26" spans="2:13" x14ac:dyDescent="0.3">
      <c r="B26" s="30" t="s">
        <v>135</v>
      </c>
      <c r="C26" s="32">
        <v>7433</v>
      </c>
      <c r="D26" s="31">
        <v>5</v>
      </c>
      <c r="E26" s="31">
        <v>0</v>
      </c>
      <c r="F26" s="31">
        <v>0</v>
      </c>
      <c r="G26" s="32">
        <v>3889</v>
      </c>
      <c r="H26" s="32">
        <v>2603</v>
      </c>
      <c r="I26" s="31">
        <v>19</v>
      </c>
      <c r="J26" s="31">
        <v>20</v>
      </c>
      <c r="K26" s="31">
        <v>82</v>
      </c>
      <c r="L26" s="32">
        <v>1108</v>
      </c>
      <c r="M26" s="31"/>
    </row>
    <row r="27" spans="2:13" x14ac:dyDescent="0.3">
      <c r="B27" s="30" t="s">
        <v>136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2"/>
    </row>
    <row r="28" spans="2:13" x14ac:dyDescent="0.3">
      <c r="B28" s="30" t="s">
        <v>137</v>
      </c>
      <c r="C28" s="32">
        <v>19519</v>
      </c>
      <c r="D28" s="32">
        <v>33390</v>
      </c>
      <c r="E28" s="32">
        <v>37482</v>
      </c>
      <c r="F28" s="32">
        <v>51128</v>
      </c>
      <c r="G28" s="32">
        <v>38297</v>
      </c>
      <c r="H28" s="32">
        <v>46641</v>
      </c>
      <c r="I28" s="32">
        <v>46578</v>
      </c>
      <c r="J28" s="32">
        <v>43934</v>
      </c>
      <c r="K28" s="32">
        <v>18829</v>
      </c>
      <c r="L28" s="32">
        <v>13384</v>
      </c>
      <c r="M28" s="32"/>
    </row>
    <row r="29" spans="2:13" x14ac:dyDescent="0.3">
      <c r="B29" s="30" t="s">
        <v>138</v>
      </c>
      <c r="C29" s="32">
        <v>-24924</v>
      </c>
      <c r="D29" s="32">
        <v>-21732</v>
      </c>
      <c r="E29" s="32">
        <v>-29964</v>
      </c>
      <c r="F29" s="32">
        <v>-35198</v>
      </c>
      <c r="G29" s="32">
        <v>-29847</v>
      </c>
      <c r="H29" s="32">
        <v>-29709</v>
      </c>
      <c r="I29" s="32">
        <v>-42816</v>
      </c>
      <c r="J29" s="32">
        <v>-62557</v>
      </c>
      <c r="K29" s="32">
        <v>-47414</v>
      </c>
      <c r="L29" s="32">
        <v>-21443</v>
      </c>
      <c r="M29" s="32"/>
    </row>
    <row r="30" spans="2:13" x14ac:dyDescent="0.3">
      <c r="B30" s="30" t="s">
        <v>139</v>
      </c>
      <c r="C30" s="32">
        <v>-5716</v>
      </c>
      <c r="D30" s="32">
        <v>-5336</v>
      </c>
      <c r="E30" s="32">
        <v>-5411</v>
      </c>
      <c r="F30" s="32">
        <v>-7005</v>
      </c>
      <c r="G30" s="32">
        <v>-7518</v>
      </c>
      <c r="H30" s="32">
        <v>-8123</v>
      </c>
      <c r="I30" s="32">
        <v>-9251</v>
      </c>
      <c r="J30" s="32">
        <v>-9336</v>
      </c>
      <c r="K30" s="32">
        <v>-9332</v>
      </c>
      <c r="L30" s="32">
        <v>-5814</v>
      </c>
      <c r="M30" s="32"/>
    </row>
    <row r="31" spans="2:13" x14ac:dyDescent="0.3">
      <c r="B31" s="30" t="s">
        <v>140</v>
      </c>
      <c r="C31" s="31">
        <v>-108</v>
      </c>
      <c r="D31" s="31">
        <v>-121</v>
      </c>
      <c r="E31" s="31">
        <v>-96</v>
      </c>
      <c r="F31" s="31">
        <v>-95</v>
      </c>
      <c r="G31" s="31">
        <v>-57</v>
      </c>
      <c r="H31" s="31">
        <v>-30</v>
      </c>
      <c r="I31" s="31">
        <v>-100</v>
      </c>
      <c r="J31" s="31">
        <v>-141</v>
      </c>
      <c r="K31" s="32">
        <v>-1059</v>
      </c>
      <c r="L31" s="32">
        <v>-2492</v>
      </c>
      <c r="M31" s="32"/>
    </row>
    <row r="32" spans="2:13" ht="15" thickBot="1" x14ac:dyDescent="0.35">
      <c r="B32" s="30" t="s">
        <v>141</v>
      </c>
      <c r="C32" s="31">
        <v>0</v>
      </c>
      <c r="D32" s="31">
        <v>0</v>
      </c>
      <c r="E32" s="31">
        <v>0</v>
      </c>
      <c r="F32" s="31">
        <v>0</v>
      </c>
      <c r="G32" s="32">
        <v>-1346</v>
      </c>
      <c r="H32" s="32">
        <v>-1477</v>
      </c>
      <c r="I32" s="32">
        <v>-1559</v>
      </c>
      <c r="J32" s="32">
        <v>-1517</v>
      </c>
      <c r="K32" s="32">
        <v>-1924</v>
      </c>
      <c r="L32" s="32">
        <v>-2393</v>
      </c>
      <c r="M32" s="32"/>
    </row>
    <row r="33" spans="2:13" ht="15" thickBot="1" x14ac:dyDescent="0.35">
      <c r="B33" s="30" t="s">
        <v>142</v>
      </c>
      <c r="C33" s="31">
        <v>0</v>
      </c>
      <c r="D33" s="31">
        <v>0</v>
      </c>
      <c r="E33" s="31">
        <v>0</v>
      </c>
      <c r="F33" s="31">
        <v>0</v>
      </c>
      <c r="G33" s="31">
        <v>-29</v>
      </c>
      <c r="H33" s="31">
        <v>0</v>
      </c>
      <c r="I33" s="32">
        <v>3750</v>
      </c>
      <c r="J33" s="32">
        <v>3355</v>
      </c>
      <c r="K33" s="32">
        <v>3812</v>
      </c>
      <c r="L33" s="32">
        <v>-1136</v>
      </c>
      <c r="M33" s="35"/>
    </row>
    <row r="34" spans="2:13" x14ac:dyDescent="0.3">
      <c r="B34" s="34" t="s">
        <v>35</v>
      </c>
      <c r="C34" s="35">
        <v>-2589</v>
      </c>
      <c r="D34" s="35">
        <v>-3167</v>
      </c>
      <c r="E34" s="39">
        <v>730</v>
      </c>
      <c r="F34" s="35">
        <v>6843</v>
      </c>
      <c r="G34" s="35">
        <v>-3092</v>
      </c>
      <c r="H34" s="35">
        <v>13232</v>
      </c>
      <c r="I34" s="35">
        <v>6459</v>
      </c>
      <c r="J34" s="35">
        <v>-6272</v>
      </c>
      <c r="K34" s="35">
        <v>8128</v>
      </c>
      <c r="L34" s="35">
        <v>-5666</v>
      </c>
    </row>
    <row r="43" spans="2:13" ht="15" thickBot="1" x14ac:dyDescent="0.35">
      <c r="D43" s="26"/>
      <c r="E43" s="26"/>
      <c r="F43" s="26"/>
      <c r="G43" s="26"/>
      <c r="H43" s="26"/>
      <c r="I43" s="26"/>
      <c r="J43" s="26"/>
      <c r="K43" s="26"/>
      <c r="L43" s="26"/>
      <c r="M43" s="2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7391-E485-410D-9CFE-000FD6621AEF}">
  <sheetPr>
    <tabColor rgb="FF0000FF"/>
  </sheetPr>
  <dimension ref="A1"/>
  <sheetViews>
    <sheetView workbookViewId="0">
      <selection activeCell="K13" sqref="K13"/>
    </sheetView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6CE6-2935-4DC1-8465-F3B5B9407A0A}">
  <dimension ref="B3:G30"/>
  <sheetViews>
    <sheetView topLeftCell="A2" workbookViewId="0">
      <selection activeCell="B6" sqref="B6:C30"/>
    </sheetView>
  </sheetViews>
  <sheetFormatPr defaultRowHeight="14.4" x14ac:dyDescent="0.3"/>
  <cols>
    <col min="1" max="1" width="1.88671875" customWidth="1"/>
  </cols>
  <sheetData>
    <row r="3" spans="2:7" x14ac:dyDescent="0.3">
      <c r="B3" s="154" t="s">
        <v>288</v>
      </c>
      <c r="C3" s="154"/>
    </row>
    <row r="5" spans="2:7" x14ac:dyDescent="0.3">
      <c r="B5" s="167" t="s">
        <v>181</v>
      </c>
      <c r="C5" s="166" t="s">
        <v>287</v>
      </c>
    </row>
    <row r="6" spans="2:7" x14ac:dyDescent="0.3">
      <c r="B6" s="169">
        <v>2000</v>
      </c>
      <c r="C6" s="170">
        <v>-14.65</v>
      </c>
      <c r="E6" s="188" t="s">
        <v>289</v>
      </c>
      <c r="F6" s="188"/>
      <c r="G6" s="5">
        <f>(AVERAGE(C6:C30))/100</f>
        <v>0.15334799999999996</v>
      </c>
    </row>
    <row r="7" spans="2:7" ht="16.2" x14ac:dyDescent="0.3">
      <c r="B7" s="169">
        <v>2001</v>
      </c>
      <c r="C7" s="170">
        <v>-16.18</v>
      </c>
      <c r="E7" s="188" t="s">
        <v>290</v>
      </c>
      <c r="F7" s="188"/>
      <c r="G7" s="78" t="s">
        <v>291</v>
      </c>
    </row>
    <row r="8" spans="2:7" x14ac:dyDescent="0.3">
      <c r="B8" s="169">
        <v>2002</v>
      </c>
      <c r="C8" s="170">
        <v>3.25</v>
      </c>
      <c r="E8" s="188" t="s">
        <v>292</v>
      </c>
      <c r="F8" s="188"/>
      <c r="G8" s="5">
        <f>SUM(G6:G7)</f>
        <v>0.15334799999999996</v>
      </c>
    </row>
    <row r="9" spans="2:7" x14ac:dyDescent="0.3">
      <c r="B9" s="169">
        <v>2003</v>
      </c>
      <c r="C9" s="170">
        <v>71.900000000000006</v>
      </c>
    </row>
    <row r="10" spans="2:7" x14ac:dyDescent="0.3">
      <c r="B10" s="169">
        <v>2004</v>
      </c>
      <c r="C10" s="170">
        <v>10.68</v>
      </c>
    </row>
    <row r="11" spans="2:7" x14ac:dyDescent="0.3">
      <c r="B11" s="169">
        <v>2005</v>
      </c>
      <c r="C11" s="170">
        <v>36.340000000000003</v>
      </c>
    </row>
    <row r="12" spans="2:7" x14ac:dyDescent="0.3">
      <c r="B12" s="169">
        <v>2006</v>
      </c>
      <c r="C12" s="170">
        <v>39.83</v>
      </c>
    </row>
    <row r="13" spans="2:7" x14ac:dyDescent="0.3">
      <c r="B13" s="169">
        <v>2007</v>
      </c>
      <c r="C13" s="170">
        <v>54.77</v>
      </c>
    </row>
    <row r="14" spans="2:7" x14ac:dyDescent="0.3">
      <c r="B14" s="169">
        <v>2008</v>
      </c>
      <c r="C14" s="170">
        <v>-51.79</v>
      </c>
    </row>
    <row r="15" spans="2:7" x14ac:dyDescent="0.3">
      <c r="B15" s="169">
        <v>2009</v>
      </c>
      <c r="C15" s="170">
        <v>75.760000000000005</v>
      </c>
    </row>
    <row r="16" spans="2:7" x14ac:dyDescent="0.3">
      <c r="B16" s="169">
        <v>2010</v>
      </c>
      <c r="C16" s="170">
        <v>17.95</v>
      </c>
    </row>
    <row r="17" spans="2:3" x14ac:dyDescent="0.3">
      <c r="B17" s="169">
        <v>2011</v>
      </c>
      <c r="C17" s="170">
        <v>-24.62</v>
      </c>
    </row>
    <row r="18" spans="2:3" x14ac:dyDescent="0.3">
      <c r="B18" s="169">
        <v>2012</v>
      </c>
      <c r="C18" s="170">
        <v>27.7</v>
      </c>
    </row>
    <row r="19" spans="2:3" x14ac:dyDescent="0.3">
      <c r="B19" s="169">
        <v>2013</v>
      </c>
      <c r="C19" s="170">
        <v>6.76</v>
      </c>
    </row>
    <row r="20" spans="2:3" x14ac:dyDescent="0.3">
      <c r="B20" s="169">
        <v>2014</v>
      </c>
      <c r="C20" s="170">
        <v>31.39</v>
      </c>
    </row>
    <row r="21" spans="2:3" x14ac:dyDescent="0.3">
      <c r="B21" s="169">
        <v>2015</v>
      </c>
      <c r="C21" s="170">
        <v>-4.0599999999999996</v>
      </c>
    </row>
    <row r="22" spans="2:3" x14ac:dyDescent="0.3">
      <c r="B22" s="169">
        <v>2016</v>
      </c>
      <c r="C22" s="170">
        <v>3.01</v>
      </c>
    </row>
    <row r="23" spans="2:3" x14ac:dyDescent="0.3">
      <c r="B23" s="169">
        <v>2017</v>
      </c>
      <c r="C23" s="170">
        <v>28.65</v>
      </c>
    </row>
    <row r="24" spans="2:3" x14ac:dyDescent="0.3">
      <c r="B24" s="169">
        <v>2018</v>
      </c>
      <c r="C24" s="170">
        <v>3.15</v>
      </c>
    </row>
    <row r="25" spans="2:3" x14ac:dyDescent="0.3">
      <c r="B25" s="169">
        <v>2019</v>
      </c>
      <c r="C25" s="170">
        <v>12.02</v>
      </c>
    </row>
    <row r="26" spans="2:3" x14ac:dyDescent="0.3">
      <c r="B26" s="169">
        <v>2020</v>
      </c>
      <c r="C26" s="170">
        <v>14.9</v>
      </c>
    </row>
    <row r="27" spans="2:3" x14ac:dyDescent="0.3">
      <c r="B27" s="169">
        <v>2021</v>
      </c>
      <c r="C27" s="170">
        <v>24.12</v>
      </c>
    </row>
    <row r="28" spans="2:3" x14ac:dyDescent="0.3">
      <c r="B28" s="169">
        <v>2022</v>
      </c>
      <c r="C28" s="170">
        <v>4.32</v>
      </c>
    </row>
    <row r="29" spans="2:3" x14ac:dyDescent="0.3">
      <c r="B29" s="169">
        <v>2023</v>
      </c>
      <c r="C29" s="170">
        <v>19.420000000000002</v>
      </c>
    </row>
    <row r="30" spans="2:3" x14ac:dyDescent="0.3">
      <c r="B30" s="169">
        <v>2024</v>
      </c>
      <c r="C30" s="170">
        <v>8.75</v>
      </c>
    </row>
  </sheetData>
  <mergeCells count="3">
    <mergeCell ref="E6:F6"/>
    <mergeCell ref="E7:F7"/>
    <mergeCell ref="E8:F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B279D-9E3F-44AE-83C1-65D18A20B735}">
  <dimension ref="B2:O40"/>
  <sheetViews>
    <sheetView workbookViewId="0">
      <pane ySplit="2" topLeftCell="A3" activePane="bottomLeft" state="frozen"/>
      <selection pane="bottomLeft" activeCell="B2" sqref="B2:N2"/>
    </sheetView>
  </sheetViews>
  <sheetFormatPr defaultRowHeight="14.4" x14ac:dyDescent="0.3"/>
  <cols>
    <col min="1" max="1" width="1.88671875" customWidth="1"/>
    <col min="2" max="2" width="24.44140625" bestFit="1" customWidth="1"/>
    <col min="3" max="10" width="9" bestFit="1" customWidth="1"/>
    <col min="11" max="14" width="9.6640625" bestFit="1" customWidth="1"/>
  </cols>
  <sheetData>
    <row r="2" spans="2:15" ht="15" thickBot="1" x14ac:dyDescent="0.35">
      <c r="B2" s="154" t="s">
        <v>332</v>
      </c>
      <c r="C2" s="171">
        <v>41699</v>
      </c>
      <c r="D2" s="172">
        <v>42064</v>
      </c>
      <c r="E2" s="172">
        <v>42430</v>
      </c>
      <c r="F2" s="172">
        <v>42795</v>
      </c>
      <c r="G2" s="172">
        <v>43160</v>
      </c>
      <c r="H2" s="172">
        <v>43525</v>
      </c>
      <c r="I2" s="172">
        <v>43891</v>
      </c>
      <c r="J2" s="172">
        <v>44256</v>
      </c>
      <c r="K2" s="172">
        <v>44621</v>
      </c>
      <c r="L2" s="172">
        <v>44986</v>
      </c>
      <c r="M2" s="172">
        <v>45352</v>
      </c>
      <c r="N2" s="172">
        <v>45717</v>
      </c>
      <c r="O2" s="25"/>
    </row>
    <row r="3" spans="2:15" x14ac:dyDescent="0.3">
      <c r="B3" s="72"/>
      <c r="C3" s="84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</row>
    <row r="4" spans="2:15" x14ac:dyDescent="0.3">
      <c r="B4" s="91" t="s">
        <v>299</v>
      </c>
      <c r="C4" s="98">
        <v>96</v>
      </c>
      <c r="D4" s="99">
        <v>96</v>
      </c>
      <c r="E4" s="99">
        <v>96</v>
      </c>
      <c r="F4" s="99">
        <v>96</v>
      </c>
      <c r="G4" s="99">
        <v>96</v>
      </c>
      <c r="H4" s="99">
        <v>96</v>
      </c>
      <c r="I4" s="99">
        <v>96</v>
      </c>
      <c r="J4" s="99">
        <v>96</v>
      </c>
      <c r="K4" s="99">
        <v>96</v>
      </c>
      <c r="L4" s="99">
        <v>96</v>
      </c>
      <c r="M4" s="99">
        <v>96</v>
      </c>
      <c r="N4" s="99">
        <v>96</v>
      </c>
    </row>
    <row r="5" spans="2:15" x14ac:dyDescent="0.3">
      <c r="B5" s="92" t="s">
        <v>25</v>
      </c>
      <c r="C5" s="98">
        <v>3943</v>
      </c>
      <c r="D5" s="99">
        <v>4646</v>
      </c>
      <c r="E5" s="99">
        <v>6429</v>
      </c>
      <c r="F5" s="99">
        <v>7508</v>
      </c>
      <c r="G5" s="99">
        <v>8314</v>
      </c>
      <c r="H5" s="99">
        <v>9375</v>
      </c>
      <c r="I5" s="99">
        <v>10034</v>
      </c>
      <c r="J5" s="99">
        <v>12710</v>
      </c>
      <c r="K5" s="99">
        <v>13716</v>
      </c>
      <c r="L5" s="99">
        <v>15896</v>
      </c>
      <c r="M5" s="99">
        <v>18632</v>
      </c>
      <c r="N5" s="99">
        <v>19304</v>
      </c>
    </row>
    <row r="6" spans="2:15" x14ac:dyDescent="0.3">
      <c r="B6" s="92" t="s">
        <v>333</v>
      </c>
      <c r="C6" s="100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</row>
    <row r="7" spans="2:15" x14ac:dyDescent="0.3">
      <c r="B7" s="80" t="s">
        <v>300</v>
      </c>
      <c r="C7" s="98">
        <v>41</v>
      </c>
      <c r="D7" s="99">
        <v>78</v>
      </c>
      <c r="E7" s="99">
        <v>73</v>
      </c>
      <c r="F7" s="99">
        <v>41</v>
      </c>
      <c r="G7" s="99">
        <v>28</v>
      </c>
      <c r="H7" s="99">
        <v>19</v>
      </c>
      <c r="I7" s="99">
        <v>19</v>
      </c>
      <c r="J7" s="99">
        <v>15</v>
      </c>
      <c r="K7" s="99">
        <v>45</v>
      </c>
      <c r="L7" s="99">
        <v>76</v>
      </c>
      <c r="M7" s="99">
        <v>54</v>
      </c>
      <c r="N7" s="99">
        <v>260</v>
      </c>
    </row>
    <row r="8" spans="2:15" x14ac:dyDescent="0.3">
      <c r="B8" s="80" t="s">
        <v>301</v>
      </c>
      <c r="C8" s="98">
        <v>199</v>
      </c>
      <c r="D8" s="99">
        <v>332</v>
      </c>
      <c r="E8" s="99">
        <v>231</v>
      </c>
      <c r="F8" s="99">
        <v>504</v>
      </c>
      <c r="G8" s="99">
        <v>492</v>
      </c>
      <c r="H8" s="99">
        <v>597</v>
      </c>
      <c r="I8" s="99">
        <v>321</v>
      </c>
      <c r="J8" s="99">
        <v>334</v>
      </c>
      <c r="K8" s="99">
        <v>731</v>
      </c>
      <c r="L8" s="99">
        <v>896</v>
      </c>
      <c r="M8" s="99">
        <v>1053</v>
      </c>
      <c r="N8" s="99">
        <v>604</v>
      </c>
    </row>
    <row r="9" spans="2:15" x14ac:dyDescent="0.3">
      <c r="B9" s="80" t="s">
        <v>302</v>
      </c>
      <c r="C9" s="98">
        <v>0</v>
      </c>
      <c r="D9" s="99">
        <v>0</v>
      </c>
      <c r="E9" s="99">
        <v>0</v>
      </c>
      <c r="F9" s="99">
        <v>0</v>
      </c>
      <c r="G9" s="99">
        <v>0</v>
      </c>
      <c r="H9" s="99">
        <v>693</v>
      </c>
      <c r="I9" s="99">
        <v>764</v>
      </c>
      <c r="J9" s="99">
        <v>745</v>
      </c>
      <c r="K9" s="99">
        <v>811</v>
      </c>
      <c r="L9" s="99">
        <v>960</v>
      </c>
      <c r="M9" s="99">
        <v>1367</v>
      </c>
      <c r="N9" s="99">
        <v>1427</v>
      </c>
    </row>
    <row r="10" spans="2:15" ht="15" thickBot="1" x14ac:dyDescent="0.35">
      <c r="B10" s="80" t="s">
        <v>303</v>
      </c>
      <c r="C10" s="98">
        <v>9</v>
      </c>
      <c r="D10" s="99">
        <v>8</v>
      </c>
      <c r="E10" s="99">
        <v>20</v>
      </c>
      <c r="F10" s="99">
        <v>15</v>
      </c>
      <c r="G10" s="99">
        <v>13</v>
      </c>
      <c r="H10" s="99">
        <v>11</v>
      </c>
      <c r="I10" s="99">
        <v>15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</row>
    <row r="11" spans="2:15" x14ac:dyDescent="0.3">
      <c r="B11" s="93" t="s">
        <v>304</v>
      </c>
      <c r="C11" s="102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</row>
    <row r="12" spans="2:15" x14ac:dyDescent="0.3">
      <c r="B12" s="81" t="s">
        <v>305</v>
      </c>
      <c r="C12" s="104">
        <v>246</v>
      </c>
      <c r="D12" s="105">
        <v>264</v>
      </c>
      <c r="E12" s="105">
        <v>384</v>
      </c>
      <c r="F12" s="105">
        <v>375</v>
      </c>
      <c r="G12" s="105">
        <v>328</v>
      </c>
      <c r="H12" s="105">
        <v>361</v>
      </c>
      <c r="I12" s="105">
        <v>404</v>
      </c>
      <c r="J12" s="105">
        <v>423</v>
      </c>
      <c r="K12" s="105">
        <v>388</v>
      </c>
      <c r="L12" s="105">
        <v>454</v>
      </c>
      <c r="M12" s="105">
        <v>695</v>
      </c>
      <c r="N12" s="105">
        <v>659</v>
      </c>
    </row>
    <row r="13" spans="2:15" x14ac:dyDescent="0.3">
      <c r="B13" s="81" t="s">
        <v>306</v>
      </c>
      <c r="C13" s="104">
        <v>1746</v>
      </c>
      <c r="D13" s="105">
        <v>1549</v>
      </c>
      <c r="E13" s="105">
        <v>1565</v>
      </c>
      <c r="F13" s="105">
        <v>1923</v>
      </c>
      <c r="G13" s="105">
        <v>2160</v>
      </c>
      <c r="H13" s="105">
        <v>2394</v>
      </c>
      <c r="I13" s="105">
        <v>2137</v>
      </c>
      <c r="J13" s="105">
        <v>3379</v>
      </c>
      <c r="K13" s="105">
        <v>4164</v>
      </c>
      <c r="L13" s="105">
        <v>3635</v>
      </c>
      <c r="M13" s="105">
        <v>3831</v>
      </c>
      <c r="N13" s="105">
        <v>3848</v>
      </c>
    </row>
    <row r="14" spans="2:15" x14ac:dyDescent="0.3">
      <c r="B14" s="81" t="s">
        <v>307</v>
      </c>
      <c r="C14" s="104">
        <v>0</v>
      </c>
      <c r="D14" s="105">
        <v>5</v>
      </c>
      <c r="E14" s="105">
        <v>12</v>
      </c>
      <c r="F14" s="105">
        <v>17</v>
      </c>
      <c r="G14" s="105">
        <v>16</v>
      </c>
      <c r="H14" s="105">
        <v>13</v>
      </c>
      <c r="I14" s="105">
        <v>29</v>
      </c>
      <c r="J14" s="105">
        <v>41</v>
      </c>
      <c r="K14" s="105">
        <v>76</v>
      </c>
      <c r="L14" s="105">
        <v>108</v>
      </c>
      <c r="M14" s="105">
        <v>154</v>
      </c>
      <c r="N14" s="105">
        <v>173</v>
      </c>
    </row>
    <row r="15" spans="2:15" x14ac:dyDescent="0.3">
      <c r="B15" s="81" t="s">
        <v>308</v>
      </c>
      <c r="C15" s="104">
        <v>1795</v>
      </c>
      <c r="D15" s="105">
        <v>1937</v>
      </c>
      <c r="E15" s="105">
        <v>1750</v>
      </c>
      <c r="F15" s="105">
        <v>1925</v>
      </c>
      <c r="G15" s="105">
        <v>2316</v>
      </c>
      <c r="H15" s="105">
        <v>2690</v>
      </c>
      <c r="I15" s="105">
        <v>2320</v>
      </c>
      <c r="J15" s="105">
        <v>2613</v>
      </c>
      <c r="K15" s="105">
        <v>2932</v>
      </c>
      <c r="L15" s="105">
        <v>3657</v>
      </c>
      <c r="M15" s="105">
        <v>4017</v>
      </c>
      <c r="N15" s="105">
        <v>3985</v>
      </c>
    </row>
    <row r="16" spans="2:15" x14ac:dyDescent="0.3">
      <c r="B16" s="88" t="s">
        <v>309</v>
      </c>
      <c r="C16" s="89">
        <v>8075</v>
      </c>
      <c r="D16" s="90">
        <v>8914</v>
      </c>
      <c r="E16" s="90">
        <v>10559</v>
      </c>
      <c r="F16" s="90">
        <v>12405</v>
      </c>
      <c r="G16" s="90">
        <v>13763</v>
      </c>
      <c r="H16" s="90">
        <v>16249</v>
      </c>
      <c r="I16" s="90">
        <v>16138</v>
      </c>
      <c r="J16" s="90">
        <v>20355</v>
      </c>
      <c r="K16" s="90">
        <v>22958</v>
      </c>
      <c r="L16" s="90">
        <v>25779</v>
      </c>
      <c r="M16" s="90">
        <v>29901</v>
      </c>
      <c r="N16" s="90">
        <v>30355</v>
      </c>
    </row>
    <row r="17" spans="2:14" ht="15" thickBot="1" x14ac:dyDescent="0.35">
      <c r="B17" s="87"/>
      <c r="C17" s="83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</row>
    <row r="18" spans="2:14" x14ac:dyDescent="0.3">
      <c r="B18" s="93" t="s">
        <v>310</v>
      </c>
      <c r="C18" s="106">
        <v>2562</v>
      </c>
      <c r="D18" s="107">
        <v>2660</v>
      </c>
      <c r="E18" s="107">
        <v>3416</v>
      </c>
      <c r="F18" s="107">
        <v>3304</v>
      </c>
      <c r="G18" s="107">
        <v>3732</v>
      </c>
      <c r="H18" s="107">
        <v>6497</v>
      </c>
      <c r="I18" s="107">
        <v>6272</v>
      </c>
      <c r="J18" s="107">
        <v>5859</v>
      </c>
      <c r="K18" s="107">
        <v>5519</v>
      </c>
      <c r="L18" s="107">
        <v>5770</v>
      </c>
      <c r="M18" s="107">
        <v>7147</v>
      </c>
      <c r="N18" s="107">
        <v>9220</v>
      </c>
    </row>
    <row r="19" spans="2:14" x14ac:dyDescent="0.3">
      <c r="B19" s="81" t="s">
        <v>311</v>
      </c>
      <c r="C19" s="108">
        <v>247</v>
      </c>
      <c r="D19" s="109">
        <v>251</v>
      </c>
      <c r="E19" s="109">
        <v>429</v>
      </c>
      <c r="F19" s="109">
        <v>408</v>
      </c>
      <c r="G19" s="109">
        <v>586</v>
      </c>
      <c r="H19" s="109">
        <v>605</v>
      </c>
      <c r="I19" s="109">
        <v>640</v>
      </c>
      <c r="J19" s="109">
        <v>644</v>
      </c>
      <c r="K19" s="109">
        <v>644</v>
      </c>
      <c r="L19" s="109">
        <v>804</v>
      </c>
      <c r="M19" s="109">
        <v>1126</v>
      </c>
      <c r="N19" s="109">
        <v>1050</v>
      </c>
    </row>
    <row r="20" spans="2:14" x14ac:dyDescent="0.3">
      <c r="B20" s="81" t="s">
        <v>312</v>
      </c>
      <c r="C20" s="108">
        <v>931</v>
      </c>
      <c r="D20" s="109">
        <v>962</v>
      </c>
      <c r="E20" s="109">
        <v>923</v>
      </c>
      <c r="F20" s="109">
        <v>931</v>
      </c>
      <c r="G20" s="109">
        <v>957</v>
      </c>
      <c r="H20" s="109">
        <v>2402</v>
      </c>
      <c r="I20" s="109">
        <v>2257</v>
      </c>
      <c r="J20" s="109">
        <v>2249</v>
      </c>
      <c r="K20" s="109">
        <v>2325</v>
      </c>
      <c r="L20" s="109">
        <v>2883</v>
      </c>
      <c r="M20" s="109">
        <v>3390</v>
      </c>
      <c r="N20" s="109">
        <v>4136</v>
      </c>
    </row>
    <row r="21" spans="2:14" x14ac:dyDescent="0.3">
      <c r="B21" s="81" t="s">
        <v>313</v>
      </c>
      <c r="C21" s="108">
        <v>2054</v>
      </c>
      <c r="D21" s="109">
        <v>2132</v>
      </c>
      <c r="E21" s="109">
        <v>1793</v>
      </c>
      <c r="F21" s="109">
        <v>1980</v>
      </c>
      <c r="G21" s="109">
        <v>2157</v>
      </c>
      <c r="H21" s="109">
        <v>4006</v>
      </c>
      <c r="I21" s="109">
        <v>4208</v>
      </c>
      <c r="J21" s="109">
        <v>4340</v>
      </c>
      <c r="K21" s="109">
        <v>4531</v>
      </c>
      <c r="L21" s="109">
        <v>4825</v>
      </c>
      <c r="M21" s="109">
        <v>5422</v>
      </c>
      <c r="N21" s="109">
        <v>7576</v>
      </c>
    </row>
    <row r="22" spans="2:14" x14ac:dyDescent="0.3">
      <c r="B22" s="81" t="s">
        <v>314</v>
      </c>
      <c r="C22" s="108">
        <v>155</v>
      </c>
      <c r="D22" s="109">
        <v>171</v>
      </c>
      <c r="E22" s="109">
        <v>97</v>
      </c>
      <c r="F22" s="109">
        <v>119</v>
      </c>
      <c r="G22" s="109">
        <v>200</v>
      </c>
      <c r="H22" s="109">
        <v>221</v>
      </c>
      <c r="I22" s="109">
        <v>241</v>
      </c>
      <c r="J22" s="109">
        <v>243</v>
      </c>
      <c r="K22" s="109">
        <v>253</v>
      </c>
      <c r="L22" s="109">
        <v>270</v>
      </c>
      <c r="M22" s="109">
        <v>298</v>
      </c>
      <c r="N22" s="109">
        <v>325</v>
      </c>
    </row>
    <row r="23" spans="2:14" x14ac:dyDescent="0.3">
      <c r="B23" s="81" t="s">
        <v>315</v>
      </c>
      <c r="C23" s="108">
        <v>71</v>
      </c>
      <c r="D23" s="109">
        <v>83</v>
      </c>
      <c r="E23" s="109">
        <v>49</v>
      </c>
      <c r="F23" s="109">
        <v>59</v>
      </c>
      <c r="G23" s="109">
        <v>72</v>
      </c>
      <c r="H23" s="109">
        <v>88</v>
      </c>
      <c r="I23" s="109">
        <v>94</v>
      </c>
      <c r="J23" s="109">
        <v>99</v>
      </c>
      <c r="K23" s="109">
        <v>113</v>
      </c>
      <c r="L23" s="109">
        <v>146</v>
      </c>
      <c r="M23" s="109">
        <v>175</v>
      </c>
      <c r="N23" s="109">
        <v>203</v>
      </c>
    </row>
    <row r="24" spans="2:14" x14ac:dyDescent="0.3">
      <c r="B24" s="81" t="s">
        <v>316</v>
      </c>
      <c r="C24" s="108">
        <v>14</v>
      </c>
      <c r="D24" s="109">
        <v>18</v>
      </c>
      <c r="E24" s="109">
        <v>11</v>
      </c>
      <c r="F24" s="109">
        <v>14</v>
      </c>
      <c r="G24" s="109">
        <v>27</v>
      </c>
      <c r="H24" s="109">
        <v>47</v>
      </c>
      <c r="I24" s="109">
        <v>43</v>
      </c>
      <c r="J24" s="109">
        <v>38</v>
      </c>
      <c r="K24" s="109">
        <v>32</v>
      </c>
      <c r="L24" s="109">
        <v>36</v>
      </c>
      <c r="M24" s="109">
        <v>40</v>
      </c>
      <c r="N24" s="109">
        <v>39</v>
      </c>
    </row>
    <row r="25" spans="2:14" x14ac:dyDescent="0.3">
      <c r="B25" s="81" t="s">
        <v>317</v>
      </c>
      <c r="C25" s="108">
        <v>203</v>
      </c>
      <c r="D25" s="109">
        <v>351</v>
      </c>
      <c r="E25" s="109">
        <v>339</v>
      </c>
      <c r="F25" s="109">
        <v>276</v>
      </c>
      <c r="G25" s="109">
        <v>468</v>
      </c>
      <c r="H25" s="109">
        <v>512</v>
      </c>
      <c r="I25" s="109">
        <v>505</v>
      </c>
      <c r="J25" s="109">
        <v>476</v>
      </c>
      <c r="K25" s="109">
        <v>345</v>
      </c>
      <c r="L25" s="109">
        <v>422</v>
      </c>
      <c r="M25" s="109">
        <v>850</v>
      </c>
      <c r="N25" s="109">
        <v>827</v>
      </c>
    </row>
    <row r="26" spans="2:14" ht="15" thickBot="1" x14ac:dyDescent="0.35">
      <c r="B26" s="81" t="s">
        <v>318</v>
      </c>
      <c r="C26" s="108">
        <v>128</v>
      </c>
      <c r="D26" s="109">
        <v>145</v>
      </c>
      <c r="E26" s="109">
        <v>103</v>
      </c>
      <c r="F26" s="109">
        <v>128</v>
      </c>
      <c r="G26" s="109">
        <v>238</v>
      </c>
      <c r="H26" s="109">
        <v>261</v>
      </c>
      <c r="I26" s="109">
        <v>293</v>
      </c>
      <c r="J26" s="109">
        <v>302</v>
      </c>
      <c r="K26" s="109">
        <v>294</v>
      </c>
      <c r="L26" s="109">
        <v>289</v>
      </c>
      <c r="M26" s="109">
        <v>321</v>
      </c>
      <c r="N26" s="109">
        <v>328</v>
      </c>
    </row>
    <row r="27" spans="2:14" x14ac:dyDescent="0.3">
      <c r="B27" s="94" t="s">
        <v>319</v>
      </c>
      <c r="C27" s="106">
        <v>3804</v>
      </c>
      <c r="D27" s="107">
        <v>4112</v>
      </c>
      <c r="E27" s="107">
        <v>3744</v>
      </c>
      <c r="F27" s="107">
        <v>3914</v>
      </c>
      <c r="G27" s="107">
        <v>4705</v>
      </c>
      <c r="H27" s="107">
        <v>8141</v>
      </c>
      <c r="I27" s="107">
        <v>8282</v>
      </c>
      <c r="J27" s="107">
        <v>8392</v>
      </c>
      <c r="K27" s="107">
        <v>8538</v>
      </c>
      <c r="L27" s="107">
        <v>9676</v>
      </c>
      <c r="M27" s="107">
        <v>11622</v>
      </c>
      <c r="N27" s="107">
        <v>14484</v>
      </c>
    </row>
    <row r="28" spans="2:14" x14ac:dyDescent="0.3">
      <c r="B28" s="97" t="s">
        <v>320</v>
      </c>
      <c r="C28" s="108">
        <v>1223</v>
      </c>
      <c r="D28" s="109">
        <v>1438</v>
      </c>
      <c r="E28" s="109">
        <v>275</v>
      </c>
      <c r="F28" s="109">
        <v>610</v>
      </c>
      <c r="G28" s="109">
        <v>973</v>
      </c>
      <c r="H28" s="109">
        <v>1592</v>
      </c>
      <c r="I28" s="109">
        <v>2010</v>
      </c>
      <c r="J28" s="109">
        <v>2533</v>
      </c>
      <c r="K28" s="109">
        <v>3019</v>
      </c>
      <c r="L28" s="109">
        <v>3814</v>
      </c>
      <c r="M28" s="109">
        <v>4381</v>
      </c>
      <c r="N28" s="109">
        <v>4945</v>
      </c>
    </row>
    <row r="29" spans="2:14" x14ac:dyDescent="0.3">
      <c r="B29" s="79" t="s">
        <v>321</v>
      </c>
      <c r="C29" s="110">
        <v>72</v>
      </c>
      <c r="D29" s="111">
        <v>196</v>
      </c>
      <c r="E29" s="111">
        <v>107</v>
      </c>
      <c r="F29" s="111">
        <v>258</v>
      </c>
      <c r="G29" s="111">
        <v>1405</v>
      </c>
      <c r="H29" s="111">
        <v>210</v>
      </c>
      <c r="I29" s="111">
        <v>140</v>
      </c>
      <c r="J29" s="111">
        <v>183</v>
      </c>
      <c r="K29" s="111">
        <v>426</v>
      </c>
      <c r="L29" s="111">
        <v>1020</v>
      </c>
      <c r="M29" s="111">
        <v>2698</v>
      </c>
      <c r="N29" s="111">
        <v>1254</v>
      </c>
    </row>
    <row r="30" spans="2:14" ht="15" thickBot="1" x14ac:dyDescent="0.35">
      <c r="B30" s="86" t="s">
        <v>29</v>
      </c>
      <c r="C30" s="108">
        <v>1424</v>
      </c>
      <c r="D30" s="109">
        <v>1588</v>
      </c>
      <c r="E30" s="109">
        <v>2712</v>
      </c>
      <c r="F30" s="109">
        <v>2652</v>
      </c>
      <c r="G30" s="109">
        <v>2141</v>
      </c>
      <c r="H30" s="109">
        <v>2569</v>
      </c>
      <c r="I30" s="109">
        <v>2019</v>
      </c>
      <c r="J30" s="109">
        <v>4737</v>
      </c>
      <c r="K30" s="109">
        <v>3248</v>
      </c>
      <c r="L30" s="109">
        <v>4262</v>
      </c>
      <c r="M30" s="109">
        <v>4588</v>
      </c>
      <c r="N30" s="109">
        <v>4725</v>
      </c>
    </row>
    <row r="31" spans="2:14" x14ac:dyDescent="0.3">
      <c r="B31" s="95" t="s">
        <v>322</v>
      </c>
      <c r="C31" s="112">
        <v>4019</v>
      </c>
      <c r="D31" s="113">
        <v>4471</v>
      </c>
      <c r="E31" s="113">
        <v>4324</v>
      </c>
      <c r="F31" s="113">
        <v>6192</v>
      </c>
      <c r="G31" s="113">
        <v>6485</v>
      </c>
      <c r="H31" s="113">
        <v>6974</v>
      </c>
      <c r="I31" s="113">
        <v>7707</v>
      </c>
      <c r="J31" s="113">
        <v>9577</v>
      </c>
      <c r="K31" s="113">
        <v>13765</v>
      </c>
      <c r="L31" s="113">
        <v>14728</v>
      </c>
      <c r="M31" s="113">
        <v>15468</v>
      </c>
      <c r="N31" s="113">
        <v>15156</v>
      </c>
    </row>
    <row r="32" spans="2:14" ht="15" thickBot="1" x14ac:dyDescent="0.35">
      <c r="B32" s="80" t="s">
        <v>323</v>
      </c>
      <c r="C32" s="110">
        <v>2070</v>
      </c>
      <c r="D32" s="111">
        <v>2259</v>
      </c>
      <c r="E32" s="111">
        <v>1998</v>
      </c>
      <c r="F32" s="111">
        <v>2627</v>
      </c>
      <c r="G32" s="111">
        <v>2658</v>
      </c>
      <c r="H32" s="111">
        <v>3150</v>
      </c>
      <c r="I32" s="111">
        <v>3390</v>
      </c>
      <c r="J32" s="111">
        <v>3799</v>
      </c>
      <c r="K32" s="111">
        <v>6153</v>
      </c>
      <c r="L32" s="111">
        <v>6211</v>
      </c>
      <c r="M32" s="111">
        <v>5923</v>
      </c>
      <c r="N32" s="111">
        <v>6719</v>
      </c>
    </row>
    <row r="33" spans="2:14" x14ac:dyDescent="0.3">
      <c r="B33" s="96" t="s">
        <v>324</v>
      </c>
      <c r="C33" s="114">
        <v>1110</v>
      </c>
      <c r="D33" s="113">
        <v>1182</v>
      </c>
      <c r="E33" s="113">
        <v>1187</v>
      </c>
      <c r="F33" s="113">
        <v>1447</v>
      </c>
      <c r="G33" s="113">
        <v>1731</v>
      </c>
      <c r="H33" s="113">
        <v>1907</v>
      </c>
      <c r="I33" s="113">
        <v>1795</v>
      </c>
      <c r="J33" s="113">
        <v>2602</v>
      </c>
      <c r="K33" s="113">
        <v>3871</v>
      </c>
      <c r="L33" s="113">
        <v>4637</v>
      </c>
      <c r="M33" s="113">
        <v>4889</v>
      </c>
      <c r="N33" s="113">
        <v>4314</v>
      </c>
    </row>
    <row r="34" spans="2:14" x14ac:dyDescent="0.3">
      <c r="B34" s="80" t="s">
        <v>325</v>
      </c>
      <c r="C34" s="110">
        <v>51</v>
      </c>
      <c r="D34" s="111">
        <v>61</v>
      </c>
      <c r="E34" s="111">
        <v>0</v>
      </c>
      <c r="F34" s="111">
        <v>0</v>
      </c>
      <c r="G34" s="111">
        <v>0</v>
      </c>
      <c r="H34" s="111">
        <v>0</v>
      </c>
      <c r="I34" s="111">
        <v>0</v>
      </c>
      <c r="J34" s="111">
        <v>0</v>
      </c>
      <c r="K34" s="111">
        <v>279</v>
      </c>
      <c r="L34" s="111">
        <v>366</v>
      </c>
      <c r="M34" s="111">
        <v>588</v>
      </c>
      <c r="N34" s="111">
        <v>726</v>
      </c>
    </row>
    <row r="35" spans="2:14" x14ac:dyDescent="0.3">
      <c r="B35" s="80" t="s">
        <v>326</v>
      </c>
      <c r="C35" s="110">
        <v>1110</v>
      </c>
      <c r="D35" s="111">
        <v>1180</v>
      </c>
      <c r="E35" s="111">
        <v>1253</v>
      </c>
      <c r="F35" s="111">
        <v>1526</v>
      </c>
      <c r="G35" s="111">
        <v>1820</v>
      </c>
      <c r="H35" s="111">
        <v>2028</v>
      </c>
      <c r="I35" s="111">
        <v>1950</v>
      </c>
      <c r="J35" s="111">
        <v>2787</v>
      </c>
      <c r="K35" s="111">
        <v>3834</v>
      </c>
      <c r="L35" s="111">
        <v>4576</v>
      </c>
      <c r="M35" s="111">
        <v>4723</v>
      </c>
      <c r="N35" s="111">
        <v>4250</v>
      </c>
    </row>
    <row r="36" spans="2:14" x14ac:dyDescent="0.3">
      <c r="B36" s="80" t="s">
        <v>327</v>
      </c>
      <c r="C36" s="110">
        <v>-50</v>
      </c>
      <c r="D36" s="111">
        <v>-59</v>
      </c>
      <c r="E36" s="111">
        <v>-67</v>
      </c>
      <c r="F36" s="111">
        <v>-79</v>
      </c>
      <c r="G36" s="111">
        <v>-89</v>
      </c>
      <c r="H36" s="111">
        <v>-121</v>
      </c>
      <c r="I36" s="111">
        <v>-155</v>
      </c>
      <c r="J36" s="111">
        <v>-185</v>
      </c>
      <c r="K36" s="111">
        <v>-241</v>
      </c>
      <c r="L36" s="111">
        <v>-305</v>
      </c>
      <c r="M36" s="111">
        <v>-422</v>
      </c>
      <c r="N36" s="111">
        <v>-663</v>
      </c>
    </row>
    <row r="37" spans="2:14" x14ac:dyDescent="0.3">
      <c r="B37" s="42" t="s">
        <v>328</v>
      </c>
      <c r="C37" s="110">
        <v>229</v>
      </c>
      <c r="D37" s="111">
        <v>204</v>
      </c>
      <c r="E37" s="111">
        <v>424</v>
      </c>
      <c r="F37" s="111">
        <v>801</v>
      </c>
      <c r="G37" s="111">
        <v>405</v>
      </c>
      <c r="H37" s="111">
        <v>445</v>
      </c>
      <c r="I37" s="111">
        <v>783</v>
      </c>
      <c r="J37" s="111">
        <v>611</v>
      </c>
      <c r="K37" s="111">
        <v>864</v>
      </c>
      <c r="L37" s="111">
        <v>844</v>
      </c>
      <c r="M37" s="111">
        <v>1084</v>
      </c>
      <c r="N37" s="111">
        <v>782</v>
      </c>
    </row>
    <row r="38" spans="2:14" x14ac:dyDescent="0.3">
      <c r="B38" s="42" t="s">
        <v>329</v>
      </c>
      <c r="C38" s="110">
        <v>7</v>
      </c>
      <c r="D38" s="111">
        <v>8</v>
      </c>
      <c r="E38" s="111">
        <v>9</v>
      </c>
      <c r="F38" s="111">
        <v>14</v>
      </c>
      <c r="G38" s="111">
        <v>13</v>
      </c>
      <c r="H38" s="111">
        <v>16</v>
      </c>
      <c r="I38" s="111">
        <v>12</v>
      </c>
      <c r="J38" s="111">
        <v>11</v>
      </c>
      <c r="K38" s="111">
        <v>8</v>
      </c>
      <c r="L38" s="111">
        <v>12</v>
      </c>
      <c r="M38" s="111">
        <v>17</v>
      </c>
      <c r="N38" s="111">
        <v>22</v>
      </c>
    </row>
    <row r="39" spans="2:14" x14ac:dyDescent="0.3">
      <c r="B39" s="80" t="s">
        <v>330</v>
      </c>
      <c r="C39" s="110">
        <v>603</v>
      </c>
      <c r="D39" s="111">
        <v>817</v>
      </c>
      <c r="E39" s="111">
        <v>705</v>
      </c>
      <c r="F39" s="111">
        <v>1303</v>
      </c>
      <c r="G39" s="111">
        <v>1678</v>
      </c>
      <c r="H39" s="111">
        <v>1456</v>
      </c>
      <c r="I39" s="111">
        <v>1727</v>
      </c>
      <c r="J39" s="111">
        <v>2555</v>
      </c>
      <c r="K39" s="111">
        <v>2869</v>
      </c>
      <c r="L39" s="111">
        <v>3024</v>
      </c>
      <c r="M39" s="111">
        <v>3555</v>
      </c>
      <c r="N39" s="111">
        <v>3319</v>
      </c>
    </row>
    <row r="40" spans="2:14" x14ac:dyDescent="0.3">
      <c r="B40" s="88" t="s">
        <v>331</v>
      </c>
      <c r="C40" s="89">
        <v>8075</v>
      </c>
      <c r="D40" s="90">
        <v>8914</v>
      </c>
      <c r="E40" s="90">
        <v>10559</v>
      </c>
      <c r="F40" s="90">
        <v>12405</v>
      </c>
      <c r="G40" s="90">
        <v>13763</v>
      </c>
      <c r="H40" s="90">
        <v>16249</v>
      </c>
      <c r="I40" s="90">
        <v>16138</v>
      </c>
      <c r="J40" s="90">
        <v>20355</v>
      </c>
      <c r="K40" s="90">
        <v>22958</v>
      </c>
      <c r="L40" s="90">
        <v>25779</v>
      </c>
      <c r="M40" s="90">
        <v>29901</v>
      </c>
      <c r="N40" s="90">
        <v>30355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DC61-6403-4CE9-95B6-20C3C4BC6FD1}">
  <dimension ref="A2:I58"/>
  <sheetViews>
    <sheetView tabSelected="1" workbookViewId="0">
      <pane ySplit="2" topLeftCell="A14" activePane="bottomLeft" state="frozen"/>
      <selection pane="bottomLeft" activeCell="B52" sqref="B52:I52"/>
    </sheetView>
  </sheetViews>
  <sheetFormatPr defaultRowHeight="14.4" x14ac:dyDescent="0.3"/>
  <cols>
    <col min="1" max="1" width="1.88671875" customWidth="1"/>
    <col min="2" max="2" width="29.5546875" bestFit="1" customWidth="1"/>
    <col min="5" max="5" width="9" bestFit="1" customWidth="1"/>
    <col min="6" max="6" width="20.21875" bestFit="1" customWidth="1"/>
    <col min="7" max="7" width="9" bestFit="1" customWidth="1"/>
    <col min="8" max="8" width="13.21875" bestFit="1" customWidth="1"/>
    <col min="9" max="9" width="9" bestFit="1" customWidth="1"/>
  </cols>
  <sheetData>
    <row r="2" spans="1:9" ht="15" thickBot="1" x14ac:dyDescent="0.35">
      <c r="B2" s="174" t="s">
        <v>334</v>
      </c>
      <c r="C2" s="174"/>
      <c r="D2" s="174"/>
      <c r="E2" s="172">
        <v>44256</v>
      </c>
      <c r="F2" s="172">
        <v>44621</v>
      </c>
      <c r="G2" s="172">
        <v>44986</v>
      </c>
      <c r="H2" s="172">
        <v>45352</v>
      </c>
      <c r="I2" s="172">
        <v>45717</v>
      </c>
    </row>
    <row r="4" spans="1:9" x14ac:dyDescent="0.3">
      <c r="B4" s="115" t="str">
        <f>'Raw FS'!B32</f>
        <v>Inventories</v>
      </c>
      <c r="C4" s="115"/>
      <c r="D4" s="115"/>
      <c r="E4" s="121">
        <f>'Raw FS'!J32</f>
        <v>3799</v>
      </c>
      <c r="F4" s="121">
        <f>'Raw FS'!K32</f>
        <v>6153</v>
      </c>
      <c r="G4" s="121">
        <f>'Raw FS'!L32</f>
        <v>6211</v>
      </c>
      <c r="H4" s="121">
        <f>'Raw FS'!M32</f>
        <v>5923</v>
      </c>
      <c r="I4" s="121">
        <f>'Raw FS'!N32</f>
        <v>6719</v>
      </c>
    </row>
    <row r="5" spans="1:9" x14ac:dyDescent="0.3">
      <c r="B5" s="115" t="str">
        <f>'Raw FS'!B33</f>
        <v>Trade receivables -</v>
      </c>
      <c r="C5" s="115"/>
      <c r="D5" s="115"/>
      <c r="E5" s="121">
        <f>'Raw FS'!J33</f>
        <v>2602</v>
      </c>
      <c r="F5" s="121">
        <f>'Raw FS'!K33</f>
        <v>3871</v>
      </c>
      <c r="G5" s="121">
        <f>'Raw FS'!L33</f>
        <v>4637</v>
      </c>
      <c r="H5" s="121">
        <f>'Raw FS'!M33</f>
        <v>4889</v>
      </c>
      <c r="I5" s="121">
        <f>'Raw FS'!N33</f>
        <v>4314</v>
      </c>
    </row>
    <row r="6" spans="1:9" x14ac:dyDescent="0.3">
      <c r="B6" s="115" t="str">
        <f>'Raw FS'!B38</f>
        <v>Loans n Advances</v>
      </c>
      <c r="C6" s="115"/>
      <c r="D6" s="115"/>
      <c r="E6" s="121">
        <f>'Raw FS'!J38</f>
        <v>11</v>
      </c>
      <c r="F6" s="121">
        <f>'Raw FS'!K38</f>
        <v>8</v>
      </c>
      <c r="G6" s="121">
        <f>'Raw FS'!L38</f>
        <v>12</v>
      </c>
      <c r="H6" s="121">
        <f>'Raw FS'!M38</f>
        <v>17</v>
      </c>
      <c r="I6" s="121">
        <f>'Raw FS'!N38</f>
        <v>22</v>
      </c>
    </row>
    <row r="7" spans="1:9" x14ac:dyDescent="0.3">
      <c r="B7" s="115" t="str">
        <f>'Raw FS'!B39</f>
        <v>Other asset items</v>
      </c>
      <c r="C7" s="115"/>
      <c r="D7" s="115"/>
      <c r="E7" s="121">
        <f>'Raw FS'!J39</f>
        <v>2555</v>
      </c>
      <c r="F7" s="121">
        <f>'Raw FS'!K39</f>
        <v>2869</v>
      </c>
      <c r="G7" s="121">
        <f>'Raw FS'!L39</f>
        <v>3024</v>
      </c>
      <c r="H7" s="121">
        <f>'Raw FS'!M39</f>
        <v>3555</v>
      </c>
      <c r="I7" s="121">
        <f>'Raw FS'!N39</f>
        <v>3319</v>
      </c>
    </row>
    <row r="8" spans="1:9" x14ac:dyDescent="0.3">
      <c r="B8" s="41" t="s">
        <v>335</v>
      </c>
      <c r="C8" s="41"/>
      <c r="D8" s="41"/>
      <c r="E8" s="122">
        <f>SUM(E4:E7)</f>
        <v>8967</v>
      </c>
      <c r="F8" s="122">
        <f t="shared" ref="F8:I8" si="0">SUM(F4:F7)</f>
        <v>12901</v>
      </c>
      <c r="G8" s="122">
        <f t="shared" si="0"/>
        <v>13884</v>
      </c>
      <c r="H8" s="122">
        <f t="shared" si="0"/>
        <v>14384</v>
      </c>
      <c r="I8" s="122">
        <f t="shared" si="0"/>
        <v>14374</v>
      </c>
    </row>
    <row r="9" spans="1:9" x14ac:dyDescent="0.3">
      <c r="E9" s="123"/>
      <c r="F9" s="123"/>
      <c r="G9" s="123"/>
      <c r="H9" s="123"/>
      <c r="I9" s="123"/>
    </row>
    <row r="10" spans="1:9" x14ac:dyDescent="0.3">
      <c r="B10" s="63" t="s">
        <v>336</v>
      </c>
      <c r="C10" s="47"/>
      <c r="D10" s="47"/>
      <c r="E10" s="124"/>
      <c r="F10" s="124"/>
      <c r="G10" s="124"/>
      <c r="H10" s="124"/>
      <c r="I10" s="124"/>
    </row>
    <row r="11" spans="1:9" x14ac:dyDescent="0.3">
      <c r="B11" s="115" t="str">
        <f>'Raw FS'!B13</f>
        <v>Trade Payables</v>
      </c>
      <c r="C11" s="115"/>
      <c r="D11" s="115"/>
      <c r="E11" s="121">
        <f>'Raw FS'!J13</f>
        <v>3379</v>
      </c>
      <c r="F11" s="121">
        <f>'Raw FS'!K13</f>
        <v>4164</v>
      </c>
      <c r="G11" s="121">
        <f>'Raw FS'!L13</f>
        <v>3635</v>
      </c>
      <c r="H11" s="121">
        <f>'Raw FS'!M13</f>
        <v>3831</v>
      </c>
      <c r="I11" s="121">
        <f>'Raw FS'!N13</f>
        <v>3848</v>
      </c>
    </row>
    <row r="12" spans="1:9" x14ac:dyDescent="0.3">
      <c r="B12" s="115" t="str">
        <f>'Raw FS'!B14</f>
        <v>Advance from Customers</v>
      </c>
      <c r="C12" s="115"/>
      <c r="D12" s="115"/>
      <c r="E12" s="121">
        <f>'Raw FS'!J14</f>
        <v>41</v>
      </c>
      <c r="F12" s="121">
        <f>'Raw FS'!K14</f>
        <v>76</v>
      </c>
      <c r="G12" s="121">
        <f>'Raw FS'!L14</f>
        <v>108</v>
      </c>
      <c r="H12" s="121">
        <f>'Raw FS'!M14</f>
        <v>154</v>
      </c>
      <c r="I12" s="121">
        <f>'Raw FS'!N14</f>
        <v>173</v>
      </c>
    </row>
    <row r="13" spans="1:9" x14ac:dyDescent="0.3">
      <c r="B13" s="115" t="str">
        <f>'Raw FS'!B15</f>
        <v>Other liability items</v>
      </c>
      <c r="C13" s="115"/>
      <c r="D13" s="115"/>
      <c r="E13" s="121">
        <f>'Raw FS'!J15</f>
        <v>2613</v>
      </c>
      <c r="F13" s="121">
        <f>'Raw FS'!K15</f>
        <v>2932</v>
      </c>
      <c r="G13" s="121">
        <f>'Raw FS'!L15</f>
        <v>3657</v>
      </c>
      <c r="H13" s="121">
        <f>'Raw FS'!M15</f>
        <v>4017</v>
      </c>
      <c r="I13" s="121">
        <f>'Raw FS'!N15</f>
        <v>3985</v>
      </c>
    </row>
    <row r="14" spans="1:9" x14ac:dyDescent="0.3">
      <c r="A14" t="s">
        <v>83</v>
      </c>
      <c r="B14" s="41" t="s">
        <v>337</v>
      </c>
      <c r="C14" s="115"/>
      <c r="D14" s="115"/>
      <c r="E14" s="122">
        <f>SUM(E11:E13)</f>
        <v>6033</v>
      </c>
      <c r="F14" s="122">
        <f t="shared" ref="F14:I14" si="1">SUM(F11:F13)</f>
        <v>7172</v>
      </c>
      <c r="G14" s="122">
        <f t="shared" si="1"/>
        <v>7400</v>
      </c>
      <c r="H14" s="122">
        <f t="shared" si="1"/>
        <v>8002</v>
      </c>
      <c r="I14" s="122">
        <f t="shared" si="1"/>
        <v>8006</v>
      </c>
    </row>
    <row r="15" spans="1:9" x14ac:dyDescent="0.3">
      <c r="E15" s="123"/>
      <c r="F15" s="123"/>
      <c r="G15" s="123"/>
      <c r="H15" s="123"/>
      <c r="I15" s="123"/>
    </row>
    <row r="16" spans="1:9" x14ac:dyDescent="0.3">
      <c r="A16" t="s">
        <v>83</v>
      </c>
      <c r="B16" s="41" t="s">
        <v>338</v>
      </c>
      <c r="C16" s="115"/>
      <c r="D16" s="115"/>
      <c r="E16" s="122">
        <f>E8-E14</f>
        <v>2934</v>
      </c>
      <c r="F16" s="122">
        <f t="shared" ref="F16:I16" si="2">F8-F14</f>
        <v>5729</v>
      </c>
      <c r="G16" s="122">
        <f t="shared" si="2"/>
        <v>6484</v>
      </c>
      <c r="H16" s="122">
        <f t="shared" si="2"/>
        <v>6382</v>
      </c>
      <c r="I16" s="122">
        <f t="shared" si="2"/>
        <v>6368</v>
      </c>
    </row>
    <row r="18" spans="1:9" x14ac:dyDescent="0.3">
      <c r="A18" t="s">
        <v>83</v>
      </c>
      <c r="B18" s="2" t="s">
        <v>339</v>
      </c>
    </row>
    <row r="19" spans="1:9" x14ac:dyDescent="0.3">
      <c r="B19" s="115" t="str">
        <f>'Raw FS'!B19</f>
        <v>Land</v>
      </c>
      <c r="C19" s="115"/>
      <c r="D19" s="115"/>
      <c r="E19" s="121">
        <f>'Raw FS'!J19</f>
        <v>644</v>
      </c>
      <c r="F19" s="121">
        <f>'Raw FS'!K19</f>
        <v>644</v>
      </c>
      <c r="G19" s="121">
        <f>'Raw FS'!L19</f>
        <v>804</v>
      </c>
      <c r="H19" s="121">
        <f>'Raw FS'!M19</f>
        <v>1126</v>
      </c>
      <c r="I19" s="121">
        <f>'Raw FS'!N19</f>
        <v>1050</v>
      </c>
    </row>
    <row r="20" spans="1:9" x14ac:dyDescent="0.3">
      <c r="B20" s="115" t="str">
        <f>'Raw FS'!B20</f>
        <v>Building</v>
      </c>
      <c r="C20" s="115"/>
      <c r="D20" s="115"/>
      <c r="E20" s="121">
        <f>'Raw FS'!J20</f>
        <v>2249</v>
      </c>
      <c r="F20" s="121">
        <f>'Raw FS'!K20</f>
        <v>2325</v>
      </c>
      <c r="G20" s="121">
        <f>'Raw FS'!L20</f>
        <v>2883</v>
      </c>
      <c r="H20" s="121">
        <f>'Raw FS'!M20</f>
        <v>3390</v>
      </c>
      <c r="I20" s="121">
        <f>'Raw FS'!N20</f>
        <v>4136</v>
      </c>
    </row>
    <row r="21" spans="1:9" x14ac:dyDescent="0.3">
      <c r="B21" s="115" t="str">
        <f>'Raw FS'!B21</f>
        <v>Plant Machinery</v>
      </c>
      <c r="C21" s="115"/>
      <c r="D21" s="115"/>
      <c r="E21" s="121">
        <f>'Raw FS'!J21</f>
        <v>4340</v>
      </c>
      <c r="F21" s="121">
        <f>'Raw FS'!K21</f>
        <v>4531</v>
      </c>
      <c r="G21" s="121">
        <f>'Raw FS'!L21</f>
        <v>4825</v>
      </c>
      <c r="H21" s="121">
        <f>'Raw FS'!M21</f>
        <v>5422</v>
      </c>
      <c r="I21" s="121">
        <f>'Raw FS'!N21</f>
        <v>7576</v>
      </c>
    </row>
    <row r="22" spans="1:9" x14ac:dyDescent="0.3">
      <c r="B22" s="115" t="str">
        <f>'Raw FS'!B22</f>
        <v>Equipments</v>
      </c>
      <c r="C22" s="115"/>
      <c r="D22" s="115"/>
      <c r="E22" s="121">
        <f>'Raw FS'!J22</f>
        <v>243</v>
      </c>
      <c r="F22" s="121">
        <f>'Raw FS'!K22</f>
        <v>253</v>
      </c>
      <c r="G22" s="121">
        <f>'Raw FS'!L22</f>
        <v>270</v>
      </c>
      <c r="H22" s="121">
        <f>'Raw FS'!M22</f>
        <v>298</v>
      </c>
      <c r="I22" s="121">
        <f>'Raw FS'!N22</f>
        <v>325</v>
      </c>
    </row>
    <row r="23" spans="1:9" x14ac:dyDescent="0.3">
      <c r="B23" s="115" t="str">
        <f>'Raw FS'!B23</f>
        <v>Furniture n fittings</v>
      </c>
      <c r="C23" s="115"/>
      <c r="D23" s="115"/>
      <c r="E23" s="121">
        <f>'Raw FS'!J23</f>
        <v>99</v>
      </c>
      <c r="F23" s="121">
        <f>'Raw FS'!K23</f>
        <v>113</v>
      </c>
      <c r="G23" s="121">
        <f>'Raw FS'!L23</f>
        <v>146</v>
      </c>
      <c r="H23" s="121">
        <f>'Raw FS'!M23</f>
        <v>175</v>
      </c>
      <c r="I23" s="121">
        <f>'Raw FS'!N23</f>
        <v>203</v>
      </c>
    </row>
    <row r="24" spans="1:9" x14ac:dyDescent="0.3">
      <c r="B24" s="115" t="str">
        <f>'Raw FS'!B24</f>
        <v>Vehicles</v>
      </c>
      <c r="C24" s="115"/>
      <c r="D24" s="115"/>
      <c r="E24" s="121">
        <f>'Raw FS'!J24</f>
        <v>38</v>
      </c>
      <c r="F24" s="121">
        <f>'Raw FS'!K24</f>
        <v>32</v>
      </c>
      <c r="G24" s="121">
        <f>'Raw FS'!L24</f>
        <v>36</v>
      </c>
      <c r="H24" s="121">
        <f>'Raw FS'!M24</f>
        <v>40</v>
      </c>
      <c r="I24" s="121">
        <f>'Raw FS'!N24</f>
        <v>39</v>
      </c>
    </row>
    <row r="25" spans="1:9" x14ac:dyDescent="0.3">
      <c r="B25" s="115" t="str">
        <f>'Raw FS'!B25</f>
        <v>Intangible Assets</v>
      </c>
      <c r="C25" s="115"/>
      <c r="D25" s="115"/>
      <c r="E25" s="121">
        <f>'Raw FS'!J25</f>
        <v>476</v>
      </c>
      <c r="F25" s="121">
        <f>'Raw FS'!K25</f>
        <v>345</v>
      </c>
      <c r="G25" s="121">
        <f>'Raw FS'!L25</f>
        <v>422</v>
      </c>
      <c r="H25" s="121">
        <f>'Raw FS'!M25</f>
        <v>850</v>
      </c>
      <c r="I25" s="121">
        <f>'Raw FS'!N25</f>
        <v>827</v>
      </c>
    </row>
    <row r="26" spans="1:9" x14ac:dyDescent="0.3">
      <c r="B26" s="115" t="str">
        <f>'Raw FS'!B26</f>
        <v>Other fixed assets</v>
      </c>
      <c r="C26" s="115"/>
      <c r="D26" s="115"/>
      <c r="E26" s="121">
        <f>'Raw FS'!J26</f>
        <v>302</v>
      </c>
      <c r="F26" s="121">
        <f>'Raw FS'!K26</f>
        <v>294</v>
      </c>
      <c r="G26" s="121">
        <f>'Raw FS'!L26</f>
        <v>289</v>
      </c>
      <c r="H26" s="121">
        <f>'Raw FS'!M26</f>
        <v>321</v>
      </c>
      <c r="I26" s="121">
        <f>'Raw FS'!N26</f>
        <v>328</v>
      </c>
    </row>
    <row r="27" spans="1:9" x14ac:dyDescent="0.3">
      <c r="B27" t="s">
        <v>319</v>
      </c>
      <c r="E27" s="125">
        <f>SUM(E19:E26)</f>
        <v>8391</v>
      </c>
      <c r="F27" s="125">
        <f t="shared" ref="F27:I27" si="3">SUM(F19:F26)</f>
        <v>8537</v>
      </c>
      <c r="G27" s="125">
        <f t="shared" si="3"/>
        <v>9675</v>
      </c>
      <c r="H27" s="125">
        <f t="shared" si="3"/>
        <v>11622</v>
      </c>
      <c r="I27" s="125">
        <f t="shared" si="3"/>
        <v>14484</v>
      </c>
    </row>
    <row r="28" spans="1:9" x14ac:dyDescent="0.3">
      <c r="B28" t="str">
        <f>'Raw FS'!B28</f>
        <v>Accumulated Depreciation</v>
      </c>
      <c r="E28" s="123">
        <f>'Raw FS'!J28</f>
        <v>2533</v>
      </c>
      <c r="F28" s="123">
        <f>'Raw FS'!K28</f>
        <v>3019</v>
      </c>
      <c r="G28" s="123">
        <f>'Raw FS'!L28</f>
        <v>3814</v>
      </c>
      <c r="H28" s="123">
        <f>'Raw FS'!M28</f>
        <v>4381</v>
      </c>
      <c r="I28" s="123">
        <f>'Raw FS'!N28</f>
        <v>4945</v>
      </c>
    </row>
    <row r="29" spans="1:9" ht="15" thickBot="1" x14ac:dyDescent="0.35">
      <c r="A29" t="s">
        <v>83</v>
      </c>
      <c r="B29" s="117" t="s">
        <v>340</v>
      </c>
      <c r="C29" s="117"/>
      <c r="D29" s="117"/>
      <c r="E29" s="126">
        <f>E27-E28</f>
        <v>5858</v>
      </c>
      <c r="F29" s="126">
        <f>F27-F28</f>
        <v>5518</v>
      </c>
      <c r="G29" s="126">
        <f>G27-G28</f>
        <v>5861</v>
      </c>
      <c r="H29" s="126">
        <f>H27-H28</f>
        <v>7241</v>
      </c>
      <c r="I29" s="126">
        <f>I27-I28</f>
        <v>9539</v>
      </c>
    </row>
    <row r="30" spans="1:9" ht="15" thickTop="1" x14ac:dyDescent="0.3">
      <c r="B30" s="2"/>
      <c r="C30" s="2"/>
      <c r="D30" s="2"/>
      <c r="E30" s="124"/>
      <c r="F30" s="124"/>
      <c r="G30" s="124"/>
      <c r="H30" s="124"/>
      <c r="I30" s="124"/>
    </row>
    <row r="31" spans="1:9" x14ac:dyDescent="0.3">
      <c r="A31" t="s">
        <v>83</v>
      </c>
      <c r="B31" s="41" t="s">
        <v>341</v>
      </c>
      <c r="C31" s="41"/>
      <c r="D31" s="41"/>
      <c r="E31" s="121">
        <f>E29+E16</f>
        <v>8792</v>
      </c>
      <c r="F31" s="121">
        <f>F29+F16</f>
        <v>11247</v>
      </c>
      <c r="G31" s="121">
        <f>G29+G16</f>
        <v>12345</v>
      </c>
      <c r="H31" s="121">
        <f>H29+H16</f>
        <v>13623</v>
      </c>
      <c r="I31" s="121">
        <f>I29+I16</f>
        <v>15907</v>
      </c>
    </row>
    <row r="32" spans="1:9" x14ac:dyDescent="0.3">
      <c r="B32" s="63" t="s">
        <v>342</v>
      </c>
      <c r="C32" s="47"/>
      <c r="D32" s="47"/>
      <c r="E32" s="121">
        <f>HistoricaIFS!H26+HistoricaIFS!H20</f>
        <v>8740.7199999999921</v>
      </c>
      <c r="F32" s="121">
        <f>HistoricaIFS!I26+HistoricaIFS!I20</f>
        <v>-115.59999999998763</v>
      </c>
      <c r="G32" s="121">
        <f>HistoricaIFS!J26+HistoricaIFS!J20</f>
        <v>6955.4399999999623</v>
      </c>
      <c r="H32" s="121">
        <f>HistoricaIFS!K26+HistoricaIFS!K20</f>
        <v>30585</v>
      </c>
      <c r="I32" s="121">
        <f>HistoricaIFS!L26+HistoricaIFS!L20</f>
        <v>31960</v>
      </c>
    </row>
    <row r="34" spans="1:9" ht="15" thickBot="1" x14ac:dyDescent="0.35">
      <c r="A34" t="s">
        <v>83</v>
      </c>
      <c r="B34" s="116" t="s">
        <v>343</v>
      </c>
      <c r="C34" s="119"/>
      <c r="D34" s="119"/>
      <c r="E34" s="120">
        <f>E32/E31</f>
        <v>0.99416742493175525</v>
      </c>
      <c r="F34" s="120">
        <f t="shared" ref="F34:I34" si="4">F32/F31</f>
        <v>-1.0278296434603684E-2</v>
      </c>
      <c r="G34" s="120">
        <f t="shared" si="4"/>
        <v>0.56342162818954733</v>
      </c>
      <c r="H34" s="120">
        <f t="shared" si="4"/>
        <v>2.2451001981942302</v>
      </c>
      <c r="I34" s="120">
        <f t="shared" si="4"/>
        <v>2.0091783491544604</v>
      </c>
    </row>
    <row r="35" spans="1:9" ht="15" thickTop="1" x14ac:dyDescent="0.3">
      <c r="B35" s="2"/>
      <c r="E35" s="10"/>
      <c r="F35" s="10"/>
      <c r="G35" s="10"/>
      <c r="H35" s="10"/>
      <c r="I35" s="10"/>
    </row>
    <row r="36" spans="1:9" ht="15" thickBot="1" x14ac:dyDescent="0.35">
      <c r="B36" s="154" t="s">
        <v>349</v>
      </c>
      <c r="C36" s="154"/>
      <c r="D36" s="154"/>
      <c r="E36" s="172">
        <f>E2</f>
        <v>44256</v>
      </c>
      <c r="F36" s="172">
        <f t="shared" ref="F36:I36" si="5">F2</f>
        <v>44621</v>
      </c>
      <c r="G36" s="172">
        <f t="shared" si="5"/>
        <v>44986</v>
      </c>
      <c r="H36" s="172">
        <f t="shared" si="5"/>
        <v>45352</v>
      </c>
      <c r="I36" s="172">
        <f t="shared" si="5"/>
        <v>45717</v>
      </c>
    </row>
    <row r="38" spans="1:9" x14ac:dyDescent="0.3">
      <c r="B38" s="41" t="s">
        <v>344</v>
      </c>
      <c r="C38" s="115"/>
      <c r="D38" s="115"/>
      <c r="E38" s="134">
        <f>-SUM('Cash Flow Data'!H14:H15)</f>
        <v>19854</v>
      </c>
      <c r="F38" s="134">
        <f>-SUM('Cash Flow Data'!I14:I15)</f>
        <v>14938</v>
      </c>
      <c r="G38" s="134">
        <f>-SUM('Cash Flow Data'!J14:J15)</f>
        <v>18945</v>
      </c>
      <c r="H38" s="134">
        <f>-SUM('Cash Flow Data'!K14:K15)</f>
        <v>31183</v>
      </c>
      <c r="I38" s="134">
        <f>-SUM('Cash Flow Data'!L14:L15)</f>
        <v>37068</v>
      </c>
    </row>
    <row r="39" spans="1:9" ht="15" thickBot="1" x14ac:dyDescent="0.35">
      <c r="B39" s="119" t="s">
        <v>345</v>
      </c>
      <c r="C39" s="119"/>
      <c r="D39" s="119"/>
      <c r="E39" s="119"/>
      <c r="F39" s="119">
        <f>F16-E16</f>
        <v>2795</v>
      </c>
      <c r="G39" s="119">
        <f t="shared" ref="G39:I39" si="6">G16-F16</f>
        <v>755</v>
      </c>
      <c r="H39" s="119">
        <f t="shared" si="6"/>
        <v>-102</v>
      </c>
      <c r="I39" s="119">
        <f t="shared" si="6"/>
        <v>-14</v>
      </c>
    </row>
    <row r="40" spans="1:9" ht="15" thickTop="1" x14ac:dyDescent="0.3"/>
    <row r="41" spans="1:9" x14ac:dyDescent="0.3">
      <c r="B41" s="115" t="s">
        <v>342</v>
      </c>
      <c r="C41" s="115"/>
      <c r="D41" s="115"/>
      <c r="E41" s="127">
        <f>E32</f>
        <v>8740.7199999999921</v>
      </c>
      <c r="F41" s="127">
        <f t="shared" ref="F41:I41" si="7">F32</f>
        <v>-115.59999999998763</v>
      </c>
      <c r="G41" s="127">
        <f t="shared" si="7"/>
        <v>6955.4399999999623</v>
      </c>
      <c r="H41" s="127">
        <f t="shared" si="7"/>
        <v>30585</v>
      </c>
      <c r="I41" s="127">
        <f t="shared" si="7"/>
        <v>31960</v>
      </c>
    </row>
    <row r="42" spans="1:9" x14ac:dyDescent="0.3">
      <c r="B42" s="115" t="s">
        <v>346</v>
      </c>
      <c r="C42" s="115"/>
      <c r="D42" s="115"/>
      <c r="E42" s="128">
        <v>0.25</v>
      </c>
      <c r="F42" s="128">
        <v>0.25</v>
      </c>
      <c r="G42" s="128">
        <v>0.25</v>
      </c>
      <c r="H42" s="128">
        <v>0.25</v>
      </c>
      <c r="I42" s="128">
        <v>0.25</v>
      </c>
    </row>
    <row r="43" spans="1:9" ht="15" thickBot="1" x14ac:dyDescent="0.35">
      <c r="B43" s="119" t="s">
        <v>347</v>
      </c>
      <c r="C43" s="119"/>
      <c r="D43" s="119"/>
      <c r="E43" s="119">
        <f>E41*(1-E42)</f>
        <v>6555.5399999999936</v>
      </c>
      <c r="F43" s="119">
        <f t="shared" ref="F43:I43" si="8">F41*(1-F42)</f>
        <v>-86.699999999990723</v>
      </c>
      <c r="G43" s="119">
        <f t="shared" si="8"/>
        <v>5216.5799999999717</v>
      </c>
      <c r="H43" s="119">
        <f t="shared" si="8"/>
        <v>22938.75</v>
      </c>
      <c r="I43" s="119">
        <f t="shared" si="8"/>
        <v>23970</v>
      </c>
    </row>
    <row r="44" spans="1:9" ht="15" thickTop="1" x14ac:dyDescent="0.3"/>
    <row r="45" spans="1:9" x14ac:dyDescent="0.3">
      <c r="B45" s="115" t="s">
        <v>348</v>
      </c>
      <c r="C45" s="115"/>
      <c r="D45" s="115"/>
      <c r="E45" s="115"/>
      <c r="F45" s="115">
        <f>SUM(F38:F39)</f>
        <v>17733</v>
      </c>
      <c r="G45" s="115">
        <f t="shared" ref="G45:I45" si="9">SUM(G38:G39)</f>
        <v>19700</v>
      </c>
      <c r="H45" s="115">
        <f t="shared" si="9"/>
        <v>31081</v>
      </c>
      <c r="I45" s="115">
        <f t="shared" si="9"/>
        <v>37054</v>
      </c>
    </row>
    <row r="46" spans="1:9" ht="15" thickBot="1" x14ac:dyDescent="0.35">
      <c r="B46" s="119" t="s">
        <v>350</v>
      </c>
      <c r="C46" s="119"/>
      <c r="D46" s="119"/>
      <c r="E46" s="119"/>
      <c r="F46" s="129">
        <f>F45/F43</f>
        <v>-204.53287197234022</v>
      </c>
      <c r="G46" s="129">
        <f t="shared" ref="G46:I46" si="10">G45/G43</f>
        <v>3.7764205667314807</v>
      </c>
      <c r="H46" s="129">
        <f t="shared" si="10"/>
        <v>1.3549561331807531</v>
      </c>
      <c r="I46" s="129">
        <f t="shared" si="10"/>
        <v>1.5458489778890279</v>
      </c>
    </row>
    <row r="47" spans="1:9" ht="15" thickTop="1" x14ac:dyDescent="0.3">
      <c r="F47" s="118"/>
      <c r="G47" s="118"/>
      <c r="H47" s="118"/>
      <c r="I47" s="118"/>
    </row>
    <row r="48" spans="1:9" x14ac:dyDescent="0.3">
      <c r="H48" s="57" t="s">
        <v>351</v>
      </c>
      <c r="I48" s="133">
        <f>AVERAGE(F46:I46)</f>
        <v>-49.463911573634739</v>
      </c>
    </row>
    <row r="49" spans="2:9" x14ac:dyDescent="0.3">
      <c r="H49" s="57" t="s">
        <v>352</v>
      </c>
      <c r="I49" s="133">
        <f>MEDIAN(F46:I46)</f>
        <v>1.4504025555348905</v>
      </c>
    </row>
    <row r="52" spans="2:9" ht="15" thickBot="1" x14ac:dyDescent="0.35">
      <c r="B52" s="154" t="s">
        <v>353</v>
      </c>
      <c r="C52" s="154"/>
      <c r="D52" s="154"/>
      <c r="E52" s="172">
        <f>E36</f>
        <v>44256</v>
      </c>
      <c r="F52" s="172">
        <f>F36</f>
        <v>44621</v>
      </c>
      <c r="G52" s="172">
        <f t="shared" ref="G52:I52" si="11">G36</f>
        <v>44986</v>
      </c>
      <c r="H52" s="172">
        <f t="shared" si="11"/>
        <v>45352</v>
      </c>
      <c r="I52" s="172">
        <f t="shared" si="11"/>
        <v>45717</v>
      </c>
    </row>
    <row r="54" spans="2:9" x14ac:dyDescent="0.3">
      <c r="B54" s="115" t="s">
        <v>350</v>
      </c>
      <c r="C54" s="115"/>
      <c r="D54" s="115"/>
      <c r="E54" s="115"/>
      <c r="F54" s="130">
        <f>F46</f>
        <v>-204.53287197234022</v>
      </c>
      <c r="G54" s="130">
        <f t="shared" ref="G54:I54" si="12">G46</f>
        <v>3.7764205667314807</v>
      </c>
      <c r="H54" s="130">
        <f t="shared" si="12"/>
        <v>1.3549561331807531</v>
      </c>
      <c r="I54" s="130">
        <f t="shared" si="12"/>
        <v>1.5458489778890279</v>
      </c>
    </row>
    <row r="55" spans="2:9" ht="15" thickBot="1" x14ac:dyDescent="0.35">
      <c r="B55" s="119" t="str">
        <f>B34</f>
        <v>ROIC</v>
      </c>
      <c r="C55" s="119"/>
      <c r="D55" s="119"/>
      <c r="E55" s="131"/>
      <c r="F55" s="131">
        <f t="shared" ref="F55:I55" si="13">F34</f>
        <v>-1.0278296434603684E-2</v>
      </c>
      <c r="G55" s="131">
        <f t="shared" si="13"/>
        <v>0.56342162818954733</v>
      </c>
      <c r="H55" s="131">
        <f t="shared" si="13"/>
        <v>2.2451001981942302</v>
      </c>
      <c r="I55" s="131">
        <f t="shared" si="13"/>
        <v>2.0091783491544604</v>
      </c>
    </row>
    <row r="56" spans="2:9" ht="15" thickTop="1" x14ac:dyDescent="0.3"/>
    <row r="57" spans="2:9" ht="15" thickBot="1" x14ac:dyDescent="0.35">
      <c r="B57" s="119" t="s">
        <v>354</v>
      </c>
      <c r="C57" s="119"/>
      <c r="D57" s="119"/>
      <c r="E57" s="119"/>
      <c r="F57" s="132">
        <f>F54*F55</f>
        <v>2.1022494887525562</v>
      </c>
      <c r="G57" s="132">
        <f t="shared" ref="G57:I57" si="14">G54*G55</f>
        <v>2.1277170244363441</v>
      </c>
      <c r="H57" s="132">
        <f t="shared" si="14"/>
        <v>3.0420122831485967</v>
      </c>
      <c r="I57" s="132">
        <f t="shared" si="14"/>
        <v>3.1058862974371868</v>
      </c>
    </row>
    <row r="58" spans="2:9" ht="15" thickTop="1" x14ac:dyDescent="0.3"/>
  </sheetData>
  <mergeCells count="1">
    <mergeCell ref="B2:D2"/>
  </mergeCells>
  <pageMargins left="0.7" right="0.7" top="0.75" bottom="0.75" header="0.3" footer="0.3"/>
  <ignoredErrors>
    <ignoredError sqref="J3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Profit &amp; Loss</vt:lpstr>
      <vt:lpstr>Quarters</vt:lpstr>
      <vt:lpstr>Balance Sheet</vt:lpstr>
      <vt:lpstr>Cash Flow</vt:lpstr>
      <vt:lpstr>Data Sheet</vt:lpstr>
      <vt:lpstr>HistoricaIFS</vt:lpstr>
      <vt:lpstr>Common Size Statement</vt:lpstr>
      <vt:lpstr>Forcasting</vt:lpstr>
      <vt:lpstr>WACC</vt:lpstr>
      <vt:lpstr>Beta</vt:lpstr>
      <vt:lpstr>Beta  - Comp </vt:lpstr>
      <vt:lpstr>DATA&gt;</vt:lpstr>
      <vt:lpstr>Ratio Analysis</vt:lpstr>
      <vt:lpstr>Cash Flow Data</vt:lpstr>
      <vt:lpstr>Financials&gt;</vt:lpstr>
      <vt:lpstr>Rm </vt:lpstr>
      <vt:lpstr>Raw FS</vt:lpstr>
      <vt:lpstr>Intresnsic Growth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suraj shikalgar</cp:lastModifiedBy>
  <cp:lastPrinted>2012-12-06T18:14:13Z</cp:lastPrinted>
  <dcterms:created xsi:type="dcterms:W3CDTF">2012-08-17T09:55:37Z</dcterms:created>
  <dcterms:modified xsi:type="dcterms:W3CDTF">2026-06-14T02:34:45Z</dcterms:modified>
</cp:coreProperties>
</file>